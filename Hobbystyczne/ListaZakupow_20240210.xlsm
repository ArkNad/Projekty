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HP\OneDrive - Politechnika Krakowska im. Tadeusza Kościuszki\Desktop\Portfel\"/>
    </mc:Choice>
  </mc:AlternateContent>
  <xr:revisionPtr revIDLastSave="0" documentId="13_ncr:1_{A9F9421F-FBC3-40E2-A432-B8448FD94723}" xr6:coauthVersionLast="47" xr6:coauthVersionMax="47" xr10:uidLastSave="{00000000-0000-0000-0000-000000000000}"/>
  <bookViews>
    <workbookView xWindow="-108" yWindow="-108" windowWidth="23256" windowHeight="12576" xr2:uid="{5FE176D8-A01B-4160-85FC-7967F69A0B31}"/>
  </bookViews>
  <sheets>
    <sheet name="Lista zakupów" sheetId="5" r:id="rId1"/>
    <sheet name="Planowanie" sheetId="1" r:id="rId2"/>
    <sheet name="ListaProduktów" sheetId="3" r:id="rId3"/>
    <sheet name="ListaPrzepisów" sheetId="7" r:id="rId4"/>
    <sheet name="HELP" sheetId="6" r:id="rId5"/>
  </sheets>
  <definedNames>
    <definedName name="_xlnm._FilterDatabase" localSheetId="3" hidden="1">ListaPrzepisów!$A$2:$AE$12</definedName>
    <definedName name="_xlnm._FilterDatabase" localSheetId="1" hidden="1">Planowanie!$B$2:$D$2</definedName>
    <definedName name="ExternalData_1" localSheetId="0" hidden="1">'Lista zakupów'!$A$1:$A$50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 a="1"/>
  <c r="B3" i="5" s="1"/>
  <c r="B4" i="5" a="1"/>
  <c r="B4" i="5" s="1"/>
  <c r="B5" i="5" a="1"/>
  <c r="B5" i="5" s="1"/>
  <c r="B6" i="5" a="1"/>
  <c r="B6" i="5" s="1"/>
  <c r="B7" i="5" a="1"/>
  <c r="B7" i="5" s="1"/>
  <c r="B8" i="5" a="1"/>
  <c r="B8" i="5" s="1"/>
  <c r="B9" i="5" a="1"/>
  <c r="B9" i="5" s="1"/>
  <c r="B10" i="5" a="1"/>
  <c r="B10" i="5" s="1"/>
  <c r="B11" i="5" a="1"/>
  <c r="B11" i="5" s="1"/>
  <c r="B12" i="5" a="1"/>
  <c r="B12" i="5" s="1"/>
  <c r="B14" i="5" a="1"/>
  <c r="B14" i="5" s="1"/>
  <c r="B18" i="5" a="1"/>
  <c r="B18" i="5" s="1"/>
  <c r="B19" i="5" a="1"/>
  <c r="B19" i="5" s="1"/>
  <c r="B21" i="5" a="1"/>
  <c r="B21" i="5" s="1"/>
  <c r="B22" i="5" a="1"/>
  <c r="B22" i="5" s="1"/>
  <c r="B23" i="5" a="1"/>
  <c r="B23" i="5" s="1"/>
  <c r="B24" i="5" a="1"/>
  <c r="B24" i="5" s="1"/>
  <c r="B25" i="5" a="1"/>
  <c r="B25" i="5" s="1"/>
  <c r="B26" i="5" a="1"/>
  <c r="B26" i="5" s="1"/>
  <c r="B28" i="5" a="1"/>
  <c r="B28" i="5" s="1"/>
  <c r="B29" i="5" a="1"/>
  <c r="B29" i="5" s="1"/>
  <c r="B30" i="5" a="1"/>
  <c r="B30" i="5" s="1"/>
  <c r="B31" i="5" a="1"/>
  <c r="B31" i="5" s="1"/>
  <c r="B32" i="5" a="1"/>
  <c r="B32" i="5" s="1"/>
  <c r="B33" i="5" a="1"/>
  <c r="B33" i="5" s="1"/>
  <c r="B34" i="5" a="1"/>
  <c r="B34" i="5" s="1"/>
  <c r="B35" i="5" a="1"/>
  <c r="B35" i="5" s="1"/>
  <c r="B36" i="5" a="1"/>
  <c r="B36" i="5" s="1"/>
  <c r="B37" i="5" a="1"/>
  <c r="B37" i="5" s="1"/>
  <c r="B38" i="5" a="1"/>
  <c r="B38" i="5" s="1"/>
  <c r="B39" i="5" a="1"/>
  <c r="B39" i="5" s="1"/>
  <c r="B40" i="5" a="1"/>
  <c r="B40" i="5" s="1"/>
  <c r="B41" i="5" a="1"/>
  <c r="B41" i="5" s="1"/>
  <c r="B42" i="5" a="1"/>
  <c r="B42" i="5" s="1"/>
  <c r="B44" i="5" a="1"/>
  <c r="B44" i="5" s="1"/>
  <c r="B45" i="5" a="1"/>
  <c r="B45" i="5" s="1"/>
  <c r="B46" i="5" a="1"/>
  <c r="B46" i="5" s="1"/>
  <c r="B47" i="5" a="1"/>
  <c r="B47" i="5" s="1"/>
  <c r="B48" i="5" a="1"/>
  <c r="B48" i="5" s="1"/>
  <c r="B49" i="5" a="1"/>
  <c r="B49" i="5" s="1"/>
  <c r="B50" i="5" a="1"/>
  <c r="B50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3DAA98-8A80-422A-9ED4-1E01093A92A5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8E3EA6E-9D51-43E3-BA34-90C10DB0798C}" keepAlive="1" name="Zapytanie — Planowanie" description="Połączenie z zapytaniem „Planowanie” w skoroszycie." type="5" refreshedVersion="8" background="1" saveData="1">
    <dbPr connection="Provider=Microsoft.Mashup.OleDb.1;Data Source=$Workbook$;Location=Planowanie;Extended Properties=&quot;&quot;" command="SELECT * FROM [Planowani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<sst xmlns="http://schemas.openxmlformats.org/spreadsheetml/2006/main" count="838" uniqueCount="194">
  <si>
    <t>Dzień</t>
  </si>
  <si>
    <t>Piątek</t>
  </si>
  <si>
    <t>Śniadanie</t>
  </si>
  <si>
    <t>Przekąska</t>
  </si>
  <si>
    <t>Obiad</t>
  </si>
  <si>
    <t>Podwieczorek</t>
  </si>
  <si>
    <t>Kolacja</t>
  </si>
  <si>
    <t>Pora żywienia</t>
  </si>
  <si>
    <t>Nazwa posiłku</t>
  </si>
  <si>
    <t>Jajko [szt]</t>
  </si>
  <si>
    <t>Mięso mielone [opak. 500g]</t>
  </si>
  <si>
    <t>Tofu [szt.]</t>
  </si>
  <si>
    <t>Surówka [opak.]</t>
  </si>
  <si>
    <t>Buraki gotowane [szt.]</t>
  </si>
  <si>
    <t>Mozarella [szt.]</t>
  </si>
  <si>
    <t>Bułka [szt.]</t>
  </si>
  <si>
    <t>Tortilla [szt.]</t>
  </si>
  <si>
    <t>Papryka [szt.]</t>
  </si>
  <si>
    <t>Pomidory [szt.]</t>
  </si>
  <si>
    <t>Bazylia [opak. 500g]</t>
  </si>
  <si>
    <t>Awokado [szt.]</t>
  </si>
  <si>
    <t>Serki [szt.]</t>
  </si>
  <si>
    <t>Jabłko [szt.]</t>
  </si>
  <si>
    <t>Banan [szt.]</t>
  </si>
  <si>
    <t>Kiwi [szt.]</t>
  </si>
  <si>
    <t>Produkt 1</t>
  </si>
  <si>
    <t>Ilość</t>
  </si>
  <si>
    <t>Warzywa</t>
  </si>
  <si>
    <t>Owoce</t>
  </si>
  <si>
    <t>Mięso</t>
  </si>
  <si>
    <t>Inne</t>
  </si>
  <si>
    <t>Przyprawy</t>
  </si>
  <si>
    <t>Sery</t>
  </si>
  <si>
    <t>Nabiał (przetwory mleczne)</t>
  </si>
  <si>
    <t>Mleko [karton 1l.]</t>
  </si>
  <si>
    <t>Pieczywo/Produkty zbożowe</t>
  </si>
  <si>
    <t>Makaron [opak. 500g]</t>
  </si>
  <si>
    <t>Kasza [worek 100g.]</t>
  </si>
  <si>
    <t>Kategoria</t>
  </si>
  <si>
    <t>Podkategoria</t>
  </si>
  <si>
    <t>Produkt 2</t>
  </si>
  <si>
    <t>Sobota</t>
  </si>
  <si>
    <t>Produkt 3</t>
  </si>
  <si>
    <t>Produkt 4</t>
  </si>
  <si>
    <t>Produkt 5</t>
  </si>
  <si>
    <t>Produkt 6</t>
  </si>
  <si>
    <t>Poniedziałek</t>
  </si>
  <si>
    <t>Wtorek</t>
  </si>
  <si>
    <t>Środa</t>
  </si>
  <si>
    <t>Czwartek</t>
  </si>
  <si>
    <t>Niedziela</t>
  </si>
  <si>
    <t>Kategoria2</t>
  </si>
  <si>
    <t>Podkategoria3</t>
  </si>
  <si>
    <t>Ilość4</t>
  </si>
  <si>
    <t>Kategoria5</t>
  </si>
  <si>
    <t>Podkategoria6</t>
  </si>
  <si>
    <t>Ilość7</t>
  </si>
  <si>
    <t>Kategoria8</t>
  </si>
  <si>
    <t>Podkategoria9</t>
  </si>
  <si>
    <t>Ilość10</t>
  </si>
  <si>
    <t>Kategoria11</t>
  </si>
  <si>
    <t>Podkategoria12</t>
  </si>
  <si>
    <t>Ilość13</t>
  </si>
  <si>
    <t>Kategoria14</t>
  </si>
  <si>
    <t>Podkategoria15</t>
  </si>
  <si>
    <t>Ilość16</t>
  </si>
  <si>
    <t>Wartość</t>
  </si>
  <si>
    <t>Owsianka [opak. 1kg]</t>
  </si>
  <si>
    <t>Mąka [opak. 1kg]</t>
  </si>
  <si>
    <t>Brzoskwinia [szt.]</t>
  </si>
  <si>
    <t>Boczek [dag.]</t>
  </si>
  <si>
    <t>Borówka [dag.]</t>
  </si>
  <si>
    <t>Szynka krojona [dag.]</t>
  </si>
  <si>
    <t>Rukola [opak. 500g]</t>
  </si>
  <si>
    <t>Mrożonki</t>
  </si>
  <si>
    <t>Piada [szt.]</t>
  </si>
  <si>
    <t>Cukinia [szt.]</t>
  </si>
  <si>
    <t>Cheddar [dag.]</t>
  </si>
  <si>
    <t xml:space="preserve">Modyfikacja zakresów zależnych list rozwijalnych w arkuszu Planowanie </t>
  </si>
  <si>
    <t>Lista rozwijalna kategoria : Dane -&gt; Poprawność Danych -&gt; Modyfikacja zakresu do docelowego</t>
  </si>
  <si>
    <t>Lista rozwijalna podkategoria : w funkcji =UNIKATOWE(X.WYSZUKAJ(K4; A1:I1; A2:I51);;PRAWDA ) zmieniam zakres A1:I1 oraz A2:I51, (TRZEBA ZACHOWAĆ ROZMIARY TABLIC TAKIE SAME !!!) jeżeli dodana jest kategoria, zmieniam A2:I51 w dół jeżeli brakuje miejsca na nowe produkty</t>
  </si>
  <si>
    <t xml:space="preserve">Lista rozwijalna kategoria w UserForm DodawanieProduktu -&gt; VBA -&gt; UserForm.Initialize -&gt; RowSource zmienić zakres </t>
  </si>
  <si>
    <t>Warzywa mrożone [opak. 500g]</t>
  </si>
  <si>
    <t>Pieczywo słodkie [szt.]</t>
  </si>
  <si>
    <t>Kawa [opak. 500g.]</t>
  </si>
  <si>
    <t>Pierś z kurczaka [dag.]</t>
  </si>
  <si>
    <t>Czerwona cebula [szt.]</t>
  </si>
  <si>
    <t>Kukurydza [puszka 400g.]</t>
  </si>
  <si>
    <t>Gouda [dag.]</t>
  </si>
  <si>
    <t>Dżem [słoik 0.25l]</t>
  </si>
  <si>
    <t>Jogurt naturalny [szt.]</t>
  </si>
  <si>
    <t>Pinsa [szt.]</t>
  </si>
  <si>
    <t>Oliwki [dag.]</t>
  </si>
  <si>
    <t>Buratta [szt.]</t>
  </si>
  <si>
    <t>Prosciutto [dag.]</t>
  </si>
  <si>
    <t>Pasta do pieczywa [opak.]</t>
  </si>
  <si>
    <t>kurczak curry</t>
  </si>
  <si>
    <t>Pierś z kurczaka [kg.]</t>
  </si>
  <si>
    <t>Imbir [szt.]</t>
  </si>
  <si>
    <t>Pasta curry [opak.]</t>
  </si>
  <si>
    <t>Feta [opak.]</t>
  </si>
  <si>
    <t>Kiełki [opak.]</t>
  </si>
  <si>
    <t>Parówki [opak.]</t>
  </si>
  <si>
    <t>Pietruszka [opak.]</t>
  </si>
  <si>
    <t>Mleczko kokosowe [puszka]</t>
  </si>
  <si>
    <t>Kostka rosołowa [szt.]</t>
  </si>
  <si>
    <t>Słodycze</t>
  </si>
  <si>
    <t>Bułka z jabłkiem [szt.]</t>
  </si>
  <si>
    <t>Pomidory [puszka]</t>
  </si>
  <si>
    <t>szakszuka</t>
  </si>
  <si>
    <t>Marchewka [szt.]</t>
  </si>
  <si>
    <t>quassadille ze szpinakiem</t>
  </si>
  <si>
    <t>Szpinak świeży [opak.]</t>
  </si>
  <si>
    <t>Gruszka [szt.]</t>
  </si>
  <si>
    <t>Kozi [opak.]</t>
  </si>
  <si>
    <t>Czosnek [szt.]</t>
  </si>
  <si>
    <t>Kategoria3</t>
  </si>
  <si>
    <t>Podkategoria2</t>
  </si>
  <si>
    <t>Ilość2</t>
  </si>
  <si>
    <t>Kategoria32</t>
  </si>
  <si>
    <t>Podkategoria23</t>
  </si>
  <si>
    <t>Ilość24</t>
  </si>
  <si>
    <t>Kategoria33</t>
  </si>
  <si>
    <t>Podkategoria24</t>
  </si>
  <si>
    <t>Ilość25</t>
  </si>
  <si>
    <t>Kategoria34</t>
  </si>
  <si>
    <t>Podkategoria25</t>
  </si>
  <si>
    <t>Ilość26</t>
  </si>
  <si>
    <t>Produkt 7</t>
  </si>
  <si>
    <t>Produkt 8</t>
  </si>
  <si>
    <t>Produkt 9</t>
  </si>
  <si>
    <t>Produkt 10</t>
  </si>
  <si>
    <t>naczynie z kurczakiem</t>
  </si>
  <si>
    <t>Bakalie [dag.]</t>
  </si>
  <si>
    <t>owsianka z serkiem i borówkami</t>
  </si>
  <si>
    <t>owsianka z serkiem i kiwi oraz bananem</t>
  </si>
  <si>
    <t>naczynie z tofu</t>
  </si>
  <si>
    <t>naleśniki na słodko</t>
  </si>
  <si>
    <t>mufinki keto</t>
  </si>
  <si>
    <t>omlety z gruszką</t>
  </si>
  <si>
    <t>omlety z brzoskwinią</t>
  </si>
  <si>
    <t>Kaki [szt.]</t>
  </si>
  <si>
    <t>Bułki hamburger [szt.]</t>
  </si>
  <si>
    <t>Ogórek konserwowy [słoik]</t>
  </si>
  <si>
    <t>Cebula jasna [szt.]</t>
  </si>
  <si>
    <t>Mięso hamburger [szt.]</t>
  </si>
  <si>
    <t>Makaron ryżowy [opak. 200g]</t>
  </si>
  <si>
    <t>Krewetki [opak. 450g]</t>
  </si>
  <si>
    <t>Barszcz [szt.]</t>
  </si>
  <si>
    <t xml:space="preserve">tortilla z burakiem </t>
  </si>
  <si>
    <t>piada</t>
  </si>
  <si>
    <t>Pieczarki [opak.]</t>
  </si>
  <si>
    <t>Pomidory suszone [puszka]</t>
  </si>
  <si>
    <t>Mięso mielone wołowe [opak. 500g]</t>
  </si>
  <si>
    <t>Fasola czerwona [puszka]</t>
  </si>
  <si>
    <t>Twaróg [opak.]</t>
  </si>
  <si>
    <t>smietanka 12%</t>
  </si>
  <si>
    <t>por [g]</t>
  </si>
  <si>
    <t>Chili con carne</t>
  </si>
  <si>
    <t>Koncentrat pomidorowy [słoik 150g.]</t>
  </si>
  <si>
    <t>puree z sosem pomid. i kurczakiem</t>
  </si>
  <si>
    <t>Groszek [puszka]</t>
  </si>
  <si>
    <t>Ziemniaki [szt.]</t>
  </si>
  <si>
    <t>hamburgery vege</t>
  </si>
  <si>
    <t>makaron z pesto i kurczakiem</t>
  </si>
  <si>
    <t>Gotowa pizza [szt.]</t>
  </si>
  <si>
    <t>gotowa pizza z dodatkami</t>
  </si>
  <si>
    <t>Chleb tostowy [opak.]</t>
  </si>
  <si>
    <t>Fit tosty</t>
  </si>
  <si>
    <t>Makaron Tagliatelle [opak. 400g]</t>
  </si>
  <si>
    <t>tagliatelle z kurczakiem</t>
  </si>
  <si>
    <t>quassadille z kurczakiem</t>
  </si>
  <si>
    <t>Ocet balsamiczny [butelka 200ml]</t>
  </si>
  <si>
    <t>Restauracja</t>
  </si>
  <si>
    <t>sos słodko kwaśny / chiński</t>
  </si>
  <si>
    <t>mieszanka chińska</t>
  </si>
  <si>
    <t>makaron z pesto i tofu</t>
  </si>
  <si>
    <t>butter chicken</t>
  </si>
  <si>
    <t>Ryż [worek 100g.]</t>
  </si>
  <si>
    <t>Śmietanka 30% [szt.]</t>
  </si>
  <si>
    <t>Garam masala [opak.]</t>
  </si>
  <si>
    <t>Imbir [opak.]</t>
  </si>
  <si>
    <t>Kumin [opak.]</t>
  </si>
  <si>
    <t>Kurkuma [opak.]</t>
  </si>
  <si>
    <t>Mielona kolendra [opak.]</t>
  </si>
  <si>
    <t>Masło klarowane [szt.]</t>
  </si>
  <si>
    <t>Parmezan [opak.]</t>
  </si>
  <si>
    <t>JAŚMIN JASNY</t>
  </si>
  <si>
    <t>ryżowy</t>
  </si>
  <si>
    <t>Bułka</t>
  </si>
  <si>
    <t>kumin [kminek nie w calosci]</t>
  </si>
  <si>
    <t>mielona kolendra</t>
  </si>
  <si>
    <t>chilli</t>
  </si>
  <si>
    <t>kurkuma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</si>
</sst>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0"/>
      <color theme="1"/>
      <name val="Times New Roman"/>
      <family val="1"/>
      <charset val="238"/>
    </font>
    <font>
      <b/>
      <sz val="10"/>
      <color theme="1"/>
      <name val="Times New Roman"/>
      <family val="1"/>
      <charset val="238"/>
    </font>
    <font>
      <b/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10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theme="4" tint="0.3999755851924192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3" fillId="0" borderId="0" xfId="0" applyFont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/>
    </xf>
    <xf numFmtId="0" fontId="0" fillId="3" borderId="1" xfId="0" applyFill="1" applyBorder="1"/>
    <xf numFmtId="0" fontId="0" fillId="4" borderId="0" xfId="0" applyFill="1"/>
    <xf numFmtId="0" fontId="0" fillId="2" borderId="0" xfId="0" applyFill="1" applyAlignment="1">
      <alignment horizontal="left" vertical="center"/>
    </xf>
    <xf numFmtId="0" fontId="0" fillId="2" borderId="0" xfId="0" applyFill="1"/>
    <xf numFmtId="0" fontId="1" fillId="2" borderId="0" xfId="0" applyFont="1" applyFill="1"/>
    <xf numFmtId="0" fontId="3" fillId="0" borderId="0" xfId="0" applyFont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2" fontId="3" fillId="0" borderId="3" xfId="0" applyNumberFormat="1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 wrapText="1"/>
    </xf>
    <xf numFmtId="16" fontId="3" fillId="0" borderId="0" xfId="0" applyNumberFormat="1" applyFont="1" applyAlignment="1">
      <alignment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 vertical="center"/>
    </xf>
    <xf numFmtId="0" fontId="0" fillId="0" borderId="0" xfId="0" applyNumberFormat="1" applyFill="1"/>
    <xf numFmtId="164" fontId="0" fillId="0" borderId="0" xfId="0" applyNumberFormat="1" applyFill="1"/>
    <xf numFmtId="0" fontId="0" fillId="6" borderId="0" xfId="0" applyNumberFormat="1" applyFill="1"/>
    <xf numFmtId="164" fontId="0" fillId="6" borderId="0" xfId="0" applyNumberFormat="1" applyFill="1"/>
    <xf numFmtId="0" fontId="1" fillId="0" borderId="0" xfId="0" applyFont="1"/>
  </cellXfs>
  <cellStyles count="1">
    <cellStyle name="Normalny" xfId="0" builtinId="0"/>
  </cellStyles>
  <dxfs count="37">
    <dxf>
      <numFmt numFmtId="164" formatCode="0.0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imes New Roman"/>
        <family val="1"/>
        <charset val="23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236220</xdr:colOff>
          <xdr:row>0</xdr:row>
          <xdr:rowOff>114300</xdr:rowOff>
        </xdr:from>
        <xdr:to>
          <xdr:col>6</xdr:col>
          <xdr:colOff>342900</xdr:colOff>
          <xdr:row>6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Stwórz podsumowanie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22860</xdr:rowOff>
        </xdr:from>
        <xdr:to>
          <xdr:col>1</xdr:col>
          <xdr:colOff>30480</xdr:colOff>
          <xdr:row>3</xdr:row>
          <xdr:rowOff>30480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produkt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30480</xdr:rowOff>
        </xdr:from>
        <xdr:to>
          <xdr:col>1</xdr:col>
          <xdr:colOff>22860</xdr:colOff>
          <xdr:row>4</xdr:row>
          <xdr:rowOff>38100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Modyfikuj produkt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30480</xdr:rowOff>
        </xdr:from>
        <xdr:to>
          <xdr:col>1</xdr:col>
          <xdr:colOff>22860</xdr:colOff>
          <xdr:row>5</xdr:row>
          <xdr:rowOff>38100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Dodaj przepis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30480</xdr:rowOff>
        </xdr:from>
        <xdr:to>
          <xdr:col>1</xdr:col>
          <xdr:colOff>22860</xdr:colOff>
          <xdr:row>6</xdr:row>
          <xdr:rowOff>38100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Pobierz przepis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6E7A10B-86E5-43BE-9A9B-965562883996}" autoFormatId="16" applyNumberFormats="0" applyBorderFormats="0" applyFontFormats="0" applyPatternFormats="0" applyAlignmentFormats="0" applyWidthHeightFormats="0">
  <queryTableRefresh nextId="5" unboundColumnsRight="1">
    <queryTableFields count="2">
      <queryTableField id="1" name="Wartość" tableColumnId="1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C02FCE-BD1D-4B46-A21B-D68D67F293CC}" name="Planowanie_2" displayName="Planowanie_2" ref="A1:B50" tableType="queryTable" totalsRowShown="0" dataDxfId="2">
  <autoFilter ref="A1:B50" xr:uid="{2AC02FCE-BD1D-4B46-A21B-D68D67F293CC}"/>
  <tableColumns count="2">
    <tableColumn id="1" xr3:uid="{F862C0B2-442C-4F8B-987C-3949EFB04F6F}" uniqueName="1" name="Wartość" queryTableFieldId="1" dataDxfId="1"/>
    <tableColumn id="3" xr3:uid="{7E67F2C1-78FF-426D-A3AA-EE606E148E63}" uniqueName="3" name="Ilość" queryTableFieldId="3" dataDxfId="0">
      <calculatedColumnFormula array="1">SUM(IF(Planowanie[[Podkategoria]:[Podkategoria25]]=Planowanie_2[[#This Row],[Wartość]],Planowanie[[Ilość]:[Ilość26]],""))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EFE83D-73DA-4122-BA11-52262479664F}" name="Planowanie" displayName="Planowanie" ref="E2:AH37" totalsRowShown="0" headerRowDxfId="36" dataDxfId="34" headerRowBorderDxfId="35" tableBorderDxfId="33">
  <autoFilter ref="E2:AH37" xr:uid="{E1EFE83D-73DA-4122-BA11-52262479664F}"/>
  <tableColumns count="30">
    <tableColumn id="1" xr3:uid="{E98DB246-6D8F-45EC-862C-CD9CD716DC85}" name="Kategoria" dataDxfId="32"/>
    <tableColumn id="2" xr3:uid="{92C218A8-B8FA-4D23-9E61-77F6E9104763}" name="Podkategoria" dataDxfId="31"/>
    <tableColumn id="3" xr3:uid="{D7CB84FF-7A37-4EA5-852F-E2F535F86EC8}" name="Ilość" dataDxfId="30"/>
    <tableColumn id="4" xr3:uid="{FC1E2D8C-4B28-4511-B6A5-77326E98F2B7}" name="Kategoria2" dataDxfId="29"/>
    <tableColumn id="5" xr3:uid="{7E5BC76A-D577-442A-88B0-CA465AD3273A}" name="Podkategoria3" dataDxfId="28"/>
    <tableColumn id="6" xr3:uid="{F77287B6-6D91-40CA-A613-6938600CB468}" name="Ilość4" dataDxfId="27"/>
    <tableColumn id="7" xr3:uid="{C1DF5DA6-58DE-4C5D-A619-17F49D61A228}" name="Kategoria5" dataDxfId="26"/>
    <tableColumn id="8" xr3:uid="{EB9F2A64-F6AC-4B18-9645-336DF0DCD185}" name="Podkategoria6" dataDxfId="25"/>
    <tableColumn id="9" xr3:uid="{559BA8AE-51B1-48C7-BAB8-E6B0D3EF6BCB}" name="Ilość7" dataDxfId="24"/>
    <tableColumn id="10" xr3:uid="{D9805069-606D-477A-8631-E85A87B1D582}" name="Kategoria8" dataDxfId="23"/>
    <tableColumn id="11" xr3:uid="{48D259ED-1E68-4E61-A2CD-6A2D2AFCE55E}" name="Podkategoria9" dataDxfId="22"/>
    <tableColumn id="12" xr3:uid="{2BF2A4AB-960D-416B-8130-B825EF28EEFC}" name="Ilość10" dataDxfId="21"/>
    <tableColumn id="13" xr3:uid="{C32260CF-614C-460E-A48C-217BB62BAAB8}" name="Kategoria11" dataDxfId="20"/>
    <tableColumn id="14" xr3:uid="{411973C0-1192-4408-8F99-992269778CC7}" name="Podkategoria12" dataDxfId="19"/>
    <tableColumn id="15" xr3:uid="{B195D51A-89C4-43F2-A370-9A42662CC242}" name="Ilość13" dataDxfId="18"/>
    <tableColumn id="16" xr3:uid="{0C69132D-F17D-4E22-83B6-6A492419E05E}" name="Kategoria14" dataDxfId="17"/>
    <tableColumn id="17" xr3:uid="{94D93812-9C21-44A6-9947-5F599FC85A31}" name="Podkategoria15" dataDxfId="16"/>
    <tableColumn id="18" xr3:uid="{98AAE13F-5865-4BD6-8162-8B0682983B36}" name="Ilość16" dataDxfId="15"/>
    <tableColumn id="19" xr3:uid="{D96EB015-ABF3-4E92-AE0E-D32EBC76747E}" name="Kategoria3" dataDxfId="14"/>
    <tableColumn id="20" xr3:uid="{135C0EEC-E9F2-44B5-9808-BB65C41A8714}" name="Podkategoria2" dataDxfId="13"/>
    <tableColumn id="21" xr3:uid="{00F175B1-7AE7-426E-8E46-B8BD1E52A0B1}" name="Ilość2" dataDxfId="12"/>
    <tableColumn id="22" xr3:uid="{7D34E622-DFE5-4865-929E-4604C0F83A24}" name="Kategoria32" dataDxfId="11"/>
    <tableColumn id="23" xr3:uid="{F59DEB23-AE73-4B77-9320-539006D2960E}" name="Podkategoria23" dataDxfId="10"/>
    <tableColumn id="24" xr3:uid="{0B0D4A0A-9CF8-42F5-813A-4206801104A7}" name="Ilość24" dataDxfId="9"/>
    <tableColumn id="25" xr3:uid="{47474D8C-0CFB-46F0-A36D-120ADFB475C0}" name="Kategoria33" dataDxfId="8"/>
    <tableColumn id="26" xr3:uid="{FB9E28E8-A616-4CB0-909F-7187D95549FE}" name="Podkategoria24" dataDxfId="7"/>
    <tableColumn id="27" xr3:uid="{97FB5AA5-C496-435D-A39C-B5052A4D7C3B}" name="Ilość25" dataDxfId="6"/>
    <tableColumn id="28" xr3:uid="{42A290A1-54CB-4740-8914-2172A2BE635D}" name="Kategoria34" dataDxfId="5"/>
    <tableColumn id="29" xr3:uid="{91468327-C428-49B4-9AAA-4F966E7ECE6A}" name="Podkategoria25" dataDxfId="4"/>
    <tableColumn id="30" xr3:uid="{B710FC49-E9B7-4D0B-A44D-D850782E6122}" name="Ilość26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0BE39-5258-4B8D-A3E6-B0AF50951264}">
  <sheetPr codeName="Arkusz1"/>
  <dimension ref="A1:E56"/>
  <sheetViews>
    <sheetView tabSelected="1" topLeftCell="A2" zoomScale="50" zoomScaleNormal="50" workbookViewId="0">
      <selection activeCell="B53" sqref="B53"/>
    </sheetView>
  </sheetViews>
  <sheetFormatPr defaultRowHeight="14.4" x14ac:dyDescent="0.3"/>
  <cols>
    <col min="1" max="1" width="30.5546875" bestFit="1" customWidth="1"/>
    <col min="2" max="2" width="7.88671875" bestFit="1" customWidth="1"/>
    <col min="4" max="4" width="9.88671875" bestFit="1" customWidth="1"/>
  </cols>
  <sheetData>
    <row r="1" spans="1:2" x14ac:dyDescent="0.3">
      <c r="A1" t="s">
        <v>66</v>
      </c>
      <c r="B1" t="s">
        <v>26</v>
      </c>
    </row>
    <row r="2" spans="1:2" x14ac:dyDescent="0.3">
      <c r="A2" s="36" t="s">
        <v>9</v>
      </c>
      <c r="B2" s="37">
        <v>10</v>
      </c>
    </row>
    <row r="3" spans="1:2" x14ac:dyDescent="0.3">
      <c r="A3" s="36" t="s">
        <v>70</v>
      </c>
      <c r="B3" s="37" cm="1">
        <f t="array" ref="B3">SUM(IF(Planowanie[[Podkategoria]:[Podkategoria25]]=Planowanie_2[[#This Row],[Wartość]],Planowanie[[Ilość]:[Ilość26]],""))</f>
        <v>30</v>
      </c>
    </row>
    <row r="4" spans="1:2" x14ac:dyDescent="0.3">
      <c r="A4" s="36" t="s">
        <v>76</v>
      </c>
      <c r="B4" s="37" cm="1">
        <f t="array" ref="B4">SUM(IF(Planowanie[[Podkategoria]:[Podkategoria25]]=Planowanie_2[[#This Row],[Wartość]],Planowanie[[Ilość]:[Ilość26]],""))</f>
        <v>1</v>
      </c>
    </row>
    <row r="5" spans="1:2" x14ac:dyDescent="0.3">
      <c r="A5" s="36" t="s">
        <v>88</v>
      </c>
      <c r="B5" s="37" cm="1">
        <f t="array" ref="B5">SUM(IF(Planowanie[[Podkategoria]:[Podkategoria25]]=Planowanie_2[[#This Row],[Wartość]],Planowanie[[Ilość]:[Ilość26]],""))</f>
        <v>30</v>
      </c>
    </row>
    <row r="6" spans="1:2" x14ac:dyDescent="0.3">
      <c r="A6" s="36" t="s">
        <v>22</v>
      </c>
      <c r="B6" s="37" cm="1">
        <f t="array" ref="B6">SUM(IF(Planowanie[[Podkategoria]:[Podkategoria25]]=Planowanie_2[[#This Row],[Wartość]],Planowanie[[Ilość]:[Ilość26]],""))</f>
        <v>8</v>
      </c>
    </row>
    <row r="7" spans="1:2" x14ac:dyDescent="0.3">
      <c r="A7" s="36" t="s">
        <v>169</v>
      </c>
      <c r="B7" s="37" cm="1">
        <f t="array" ref="B7">SUM(IF(Planowanie[[Podkategoria]:[Podkategoria25]]=Planowanie_2[[#This Row],[Wartość]],Planowanie[[Ilość]:[Ilość26]],""))</f>
        <v>0.66</v>
      </c>
    </row>
    <row r="8" spans="1:2" x14ac:dyDescent="0.3">
      <c r="A8" s="36" t="s">
        <v>11</v>
      </c>
      <c r="B8" s="37" cm="1">
        <f t="array" ref="B8">SUM(IF(Planowanie[[Podkategoria]:[Podkategoria25]]=Planowanie_2[[#This Row],[Wartość]],Planowanie[[Ilość]:[Ilość26]],""))</f>
        <v>3</v>
      </c>
    </row>
    <row r="9" spans="1:2" x14ac:dyDescent="0.3">
      <c r="A9" s="38" t="s">
        <v>82</v>
      </c>
      <c r="B9" s="39" cm="1">
        <f t="array" ref="B9">SUM(IF(Planowanie[[Podkategoria]:[Podkategoria25]]=Planowanie_2[[#This Row],[Wartość]],Planowanie[[Ilość]:[Ilość26]],""))</f>
        <v>0.5</v>
      </c>
    </row>
    <row r="10" spans="1:2" x14ac:dyDescent="0.3">
      <c r="A10" s="36" t="s">
        <v>86</v>
      </c>
      <c r="B10" s="37" cm="1">
        <f t="array" ref="B10">SUM(IF(Planowanie[[Podkategoria]:[Podkategoria25]]=Planowanie_2[[#This Row],[Wartość]],Planowanie[[Ilość]:[Ilość26]],""))</f>
        <v>1.5</v>
      </c>
    </row>
    <row r="11" spans="1:2" x14ac:dyDescent="0.3">
      <c r="A11" s="36" t="s">
        <v>17</v>
      </c>
      <c r="B11" s="37" cm="1">
        <f t="array" ref="B11">SUM(IF(Planowanie[[Podkategoria]:[Podkategoria25]]=Planowanie_2[[#This Row],[Wartość]],Planowanie[[Ilość]:[Ilość26]],""))</f>
        <v>1.9</v>
      </c>
    </row>
    <row r="12" spans="1:2" x14ac:dyDescent="0.3">
      <c r="A12" s="36" t="s">
        <v>186</v>
      </c>
      <c r="B12" s="37" cm="1">
        <f t="array" ref="B12">SUM(IF(Planowanie[[Podkategoria]:[Podkategoria25]]=Planowanie_2[[#This Row],[Wartość]],Planowanie[[Ilość]:[Ilość26]],""))</f>
        <v>0.4</v>
      </c>
    </row>
    <row r="13" spans="1:2" x14ac:dyDescent="0.3">
      <c r="A13" s="36" t="s">
        <v>115</v>
      </c>
      <c r="B13" s="37">
        <v>1</v>
      </c>
    </row>
    <row r="14" spans="1:2" x14ac:dyDescent="0.3">
      <c r="A14" s="36" t="s">
        <v>155</v>
      </c>
      <c r="B14" s="37" cm="1">
        <f t="array" ref="B14">SUM(IF(Planowanie[[Podkategoria]:[Podkategoria25]]=Planowanie_2[[#This Row],[Wartość]],Planowanie[[Ilość]:[Ilość26]],""))</f>
        <v>1</v>
      </c>
    </row>
    <row r="15" spans="1:2" x14ac:dyDescent="0.3">
      <c r="A15" s="36" t="s">
        <v>34</v>
      </c>
      <c r="B15" s="37">
        <v>1</v>
      </c>
    </row>
    <row r="16" spans="1:2" x14ac:dyDescent="0.3">
      <c r="A16" s="36" t="s">
        <v>68</v>
      </c>
      <c r="B16" s="37">
        <v>1</v>
      </c>
    </row>
    <row r="17" spans="1:5" x14ac:dyDescent="0.3">
      <c r="A17" s="36" t="s">
        <v>21</v>
      </c>
      <c r="B17" s="37">
        <v>10</v>
      </c>
      <c r="D17" s="1"/>
      <c r="E17" s="1"/>
    </row>
    <row r="18" spans="1:5" x14ac:dyDescent="0.3">
      <c r="A18" s="36" t="s">
        <v>24</v>
      </c>
      <c r="B18" s="37" cm="1">
        <f t="array" ref="B18">SUM(IF(Planowanie[[Podkategoria]:[Podkategoria25]]=Planowanie_2[[#This Row],[Wartość]],Planowanie[[Ilość]:[Ilość26]],""))</f>
        <v>2</v>
      </c>
      <c r="D18" s="1"/>
      <c r="E18" s="1"/>
    </row>
    <row r="19" spans="1:5" x14ac:dyDescent="0.3">
      <c r="A19" s="38" t="s">
        <v>141</v>
      </c>
      <c r="B19" s="39" cm="1">
        <f t="array" ref="B19">SUM(IF(Planowanie[[Podkategoria]:[Podkategoria25]]=Planowanie_2[[#This Row],[Wartość]],Planowanie[[Ilość]:[Ilość26]],""))</f>
        <v>1</v>
      </c>
      <c r="D19" s="1"/>
      <c r="E19" s="1"/>
    </row>
    <row r="20" spans="1:5" x14ac:dyDescent="0.3">
      <c r="A20" s="36" t="s">
        <v>23</v>
      </c>
      <c r="B20" s="37">
        <v>4</v>
      </c>
      <c r="D20" s="1"/>
      <c r="E20" s="1"/>
    </row>
    <row r="21" spans="1:5" x14ac:dyDescent="0.3">
      <c r="A21" s="36" t="s">
        <v>71</v>
      </c>
      <c r="B21" s="37" cm="1">
        <f t="array" ref="B21">SUM(IF(Planowanie[[Podkategoria]:[Podkategoria25]]=Planowanie_2[[#This Row],[Wartość]],Planowanie[[Ilość]:[Ilość26]],""))</f>
        <v>40</v>
      </c>
      <c r="D21" s="1"/>
      <c r="E21" s="1"/>
    </row>
    <row r="22" spans="1:5" x14ac:dyDescent="0.3">
      <c r="A22" s="38" t="s">
        <v>67</v>
      </c>
      <c r="B22" s="39" cm="1">
        <f t="array" ref="B22">SUM(IF(Planowanie[[Podkategoria]:[Podkategoria25]]=Planowanie_2[[#This Row],[Wartość]],Planowanie[[Ilość]:[Ilość26]],""))</f>
        <v>0.8</v>
      </c>
    </row>
    <row r="23" spans="1:5" x14ac:dyDescent="0.3">
      <c r="A23" s="38" t="s">
        <v>133</v>
      </c>
      <c r="B23" s="39" cm="1">
        <f t="array" ref="B23">SUM(IF(Planowanie[[Podkategoria]:[Podkategoria25]]=Planowanie_2[[#This Row],[Wartość]],Planowanie[[Ilość]:[Ilość26]],""))</f>
        <v>10</v>
      </c>
    </row>
    <row r="24" spans="1:5" x14ac:dyDescent="0.3">
      <c r="A24" s="36" t="s">
        <v>178</v>
      </c>
      <c r="B24" s="37" cm="1">
        <f t="array" ref="B24">SUM(IF(Planowanie[[Podkategoria]:[Podkategoria25]]=Planowanie_2[[#This Row],[Wartość]],Planowanie[[Ilość]:[Ilość26]],""))</f>
        <v>3</v>
      </c>
      <c r="D24" s="40" t="s">
        <v>187</v>
      </c>
    </row>
    <row r="25" spans="1:5" x14ac:dyDescent="0.3">
      <c r="A25" s="36" t="s">
        <v>97</v>
      </c>
      <c r="B25" s="37" cm="1">
        <f t="array" ref="B25">SUM(IF(Planowanie[[Podkategoria]:[Podkategoria25]]=Planowanie_2[[#This Row],[Wartość]],Planowanie[[Ilość]:[Ilość26]],""))</f>
        <v>0.8</v>
      </c>
      <c r="D25" s="40"/>
    </row>
    <row r="26" spans="1:5" x14ac:dyDescent="0.3">
      <c r="A26" s="36" t="s">
        <v>90</v>
      </c>
      <c r="B26" s="37" cm="1">
        <f t="array" ref="B26">SUM(IF(Planowanie[[Podkategoria]:[Podkategoria25]]=Planowanie_2[[#This Row],[Wartość]],Planowanie[[Ilość]:[Ilość26]],""))</f>
        <v>2</v>
      </c>
    </row>
    <row r="27" spans="1:5" x14ac:dyDescent="0.3">
      <c r="A27" s="36" t="s">
        <v>108</v>
      </c>
      <c r="B27" s="37">
        <v>2</v>
      </c>
    </row>
    <row r="28" spans="1:5" x14ac:dyDescent="0.3">
      <c r="A28" s="36" t="s">
        <v>179</v>
      </c>
      <c r="B28" s="37" cm="1">
        <f t="array" ref="B28">SUM(IF(Planowanie[[Podkategoria]:[Podkategoria25]]=Planowanie_2[[#This Row],[Wartość]],Planowanie[[Ilość]:[Ilość26]],""))</f>
        <v>1</v>
      </c>
    </row>
    <row r="29" spans="1:5" x14ac:dyDescent="0.3">
      <c r="A29" s="36" t="s">
        <v>144</v>
      </c>
      <c r="B29" s="37" cm="1">
        <f t="array" ref="B29">SUM(IF(Planowanie[[Podkategoria]:[Podkategoria25]]=Planowanie_2[[#This Row],[Wartość]],Planowanie[[Ilość]:[Ilość26]],""))</f>
        <v>4</v>
      </c>
    </row>
    <row r="30" spans="1:5" x14ac:dyDescent="0.3">
      <c r="A30" s="36" t="s">
        <v>180</v>
      </c>
      <c r="B30" s="37" cm="1">
        <f t="array" ref="B30">SUM(IF(Planowanie[[Podkategoria]:[Podkategoria25]]=Planowanie_2[[#This Row],[Wartość]],Planowanie[[Ilość]:[Ilość26]],""))</f>
        <v>0.4</v>
      </c>
    </row>
    <row r="31" spans="1:5" x14ac:dyDescent="0.3">
      <c r="A31" s="38" t="s">
        <v>181</v>
      </c>
      <c r="B31" s="39" cm="1">
        <f t="array" ref="B31">SUM(IF(Planowanie[[Podkategoria]:[Podkategoria25]]=Planowanie_2[[#This Row],[Wartość]],Planowanie[[Ilość]:[Ilość26]],""))</f>
        <v>0.2</v>
      </c>
    </row>
    <row r="32" spans="1:5" x14ac:dyDescent="0.3">
      <c r="A32" s="36" t="s">
        <v>185</v>
      </c>
      <c r="B32" s="37" cm="1">
        <f t="array" ref="B32">SUM(IF(Planowanie[[Podkategoria]:[Podkategoria25]]=Planowanie_2[[#This Row],[Wartość]],Planowanie[[Ilość]:[Ilość26]],""))</f>
        <v>1</v>
      </c>
    </row>
    <row r="33" spans="1:4" x14ac:dyDescent="0.3">
      <c r="A33" s="36" t="s">
        <v>75</v>
      </c>
      <c r="B33" s="37" cm="1">
        <f t="array" ref="B33">SUM(IF(Planowanie[[Podkategoria]:[Podkategoria25]]=Planowanie_2[[#This Row],[Wartość]],Planowanie[[Ilość]:[Ilość26]],""))</f>
        <v>4</v>
      </c>
    </row>
    <row r="34" spans="1:4" x14ac:dyDescent="0.3">
      <c r="A34" s="36" t="s">
        <v>14</v>
      </c>
      <c r="B34" s="37" cm="1">
        <f t="array" ref="B34">SUM(IF(Planowanie[[Podkategoria]:[Podkategoria25]]=Planowanie_2[[#This Row],[Wartość]],Planowanie[[Ilość]:[Ilość26]],""))</f>
        <v>2</v>
      </c>
    </row>
    <row r="35" spans="1:4" x14ac:dyDescent="0.3">
      <c r="A35" s="36" t="s">
        <v>73</v>
      </c>
      <c r="B35" s="37" cm="1">
        <f t="array" ref="B35">SUM(IF(Planowanie[[Podkategoria]:[Podkategoria25]]=Planowanie_2[[#This Row],[Wartość]],Planowanie[[Ilość]:[Ilość26]],""))</f>
        <v>0.4</v>
      </c>
    </row>
    <row r="36" spans="1:4" x14ac:dyDescent="0.3">
      <c r="A36" s="38" t="s">
        <v>94</v>
      </c>
      <c r="B36" s="39" cm="1">
        <f t="array" ref="B36">SUM(IF(Planowanie[[Podkategoria]:[Podkategoria25]]=Planowanie_2[[#This Row],[Wartość]],Planowanie[[Ilość]:[Ilość26]],""))</f>
        <v>0</v>
      </c>
    </row>
    <row r="37" spans="1:4" x14ac:dyDescent="0.3">
      <c r="A37" s="36" t="s">
        <v>93</v>
      </c>
      <c r="B37" s="37" cm="1">
        <f t="array" ref="B37">SUM(IF(Planowanie[[Podkategoria]:[Podkategoria25]]=Planowanie_2[[#This Row],[Wartość]],Planowanie[[Ilość]:[Ilość26]],""))</f>
        <v>1</v>
      </c>
    </row>
    <row r="38" spans="1:4" x14ac:dyDescent="0.3">
      <c r="A38" s="36" t="s">
        <v>13</v>
      </c>
      <c r="B38" s="37" cm="1">
        <f t="array" ref="B38">SUM(IF(Planowanie[[Podkategoria]:[Podkategoria25]]=Planowanie_2[[#This Row],[Wartość]],Planowanie[[Ilość]:[Ilość26]],""))</f>
        <v>2</v>
      </c>
    </row>
    <row r="39" spans="1:4" x14ac:dyDescent="0.3">
      <c r="A39" s="36" t="s">
        <v>113</v>
      </c>
      <c r="B39" s="37" cm="1">
        <f t="array" ref="B39">SUM(IF(Planowanie[[Podkategoria]:[Podkategoria25]]=Planowanie_2[[#This Row],[Wartość]],Planowanie[[Ilość]:[Ilość26]],""))</f>
        <v>2</v>
      </c>
    </row>
    <row r="40" spans="1:4" x14ac:dyDescent="0.3">
      <c r="A40" s="38" t="s">
        <v>100</v>
      </c>
      <c r="B40" s="39" cm="1">
        <f t="array" ref="B40">SUM(IF(Planowanie[[Podkategoria]:[Podkategoria25]]=Planowanie_2[[#This Row],[Wartość]],Planowanie[[Ilość]:[Ilość26]],""))</f>
        <v>1</v>
      </c>
    </row>
    <row r="41" spans="1:4" x14ac:dyDescent="0.3">
      <c r="A41" s="38" t="s">
        <v>95</v>
      </c>
      <c r="B41" s="39" cm="1">
        <f t="array" ref="B41">SUM(IF(Planowanie[[Podkategoria]:[Podkategoria25]]=Planowanie_2[[#This Row],[Wartość]],Planowanie[[Ilość]:[Ilość26]],""))</f>
        <v>1</v>
      </c>
    </row>
    <row r="42" spans="1:4" x14ac:dyDescent="0.3">
      <c r="A42" s="36" t="s">
        <v>101</v>
      </c>
      <c r="B42" s="37" cm="1">
        <f t="array" ref="B42">SUM(IF(Planowanie[[Podkategoria]:[Podkategoria25]]=Planowanie_2[[#This Row],[Wartość]],Planowanie[[Ilość]:[Ilość26]],""))</f>
        <v>0.5</v>
      </c>
    </row>
    <row r="43" spans="1:4" x14ac:dyDescent="0.3">
      <c r="A43" s="36" t="s">
        <v>36</v>
      </c>
      <c r="B43" s="37">
        <v>1</v>
      </c>
      <c r="D43" t="s">
        <v>188</v>
      </c>
    </row>
    <row r="44" spans="1:4" x14ac:dyDescent="0.3">
      <c r="A44" s="36" t="s">
        <v>174</v>
      </c>
      <c r="B44" s="37" cm="1">
        <f t="array" ref="B44">SUM(IF(Planowanie[[Podkategoria]:[Podkategoria25]]=Planowanie_2[[#This Row],[Wartość]],Planowanie[[Ilość]:[Ilość26]],""))</f>
        <v>1</v>
      </c>
    </row>
    <row r="45" spans="1:4" x14ac:dyDescent="0.3">
      <c r="A45" s="36" t="s">
        <v>175</v>
      </c>
      <c r="B45" s="37" cm="1">
        <f t="array" ref="B45">SUM(IF(Planowanie[[Podkategoria]:[Podkategoria25]]=Planowanie_2[[#This Row],[Wartość]],Planowanie[[Ilość]:[Ilość26]],""))</f>
        <v>1</v>
      </c>
    </row>
    <row r="46" spans="1:4" x14ac:dyDescent="0.3">
      <c r="A46" s="36" t="s">
        <v>20</v>
      </c>
      <c r="B46" s="37" cm="1">
        <f t="array" ref="B46">SUM(IF(Planowanie[[Podkategoria]:[Podkategoria25]]=Planowanie_2[[#This Row],[Wartość]],Planowanie[[Ilość]:[Ilość26]],""))</f>
        <v>2</v>
      </c>
    </row>
    <row r="47" spans="1:4" x14ac:dyDescent="0.3">
      <c r="A47" s="36" t="s">
        <v>72</v>
      </c>
      <c r="B47" s="37" cm="1">
        <f t="array" ref="B47">SUM(IF(Planowanie[[Podkategoria]:[Podkategoria25]]=Planowanie_2[[#This Row],[Wartość]],Planowanie[[Ilość]:[Ilość26]],""))</f>
        <v>35</v>
      </c>
    </row>
    <row r="48" spans="1:4" x14ac:dyDescent="0.3">
      <c r="A48" s="36" t="s">
        <v>77</v>
      </c>
      <c r="B48" s="37" cm="1">
        <f t="array" ref="B48">SUM(IF(Planowanie[[Podkategoria]:[Podkategoria25]]=Planowanie_2[[#This Row],[Wartość]],Planowanie[[Ilość]:[Ilość26]],""))</f>
        <v>15</v>
      </c>
    </row>
    <row r="49" spans="1:2" x14ac:dyDescent="0.3">
      <c r="A49" s="36" t="s">
        <v>18</v>
      </c>
      <c r="B49" s="37" cm="1">
        <f t="array" ref="B49">SUM(IF(Planowanie[[Podkategoria]:[Podkategoria25]]=Planowanie_2[[#This Row],[Wartość]],Planowanie[[Ilość]:[Ilość26]],""))</f>
        <v>1.5</v>
      </c>
    </row>
    <row r="50" spans="1:2" x14ac:dyDescent="0.3">
      <c r="A50" s="36" t="s">
        <v>167</v>
      </c>
      <c r="B50" s="37" cm="1">
        <f t="array" ref="B50">SUM(IF(Planowanie[[Podkategoria]:[Podkategoria25]]=Planowanie_2[[#This Row],[Wartość]],Planowanie[[Ilość]:[Ilość26]],""))</f>
        <v>1</v>
      </c>
    </row>
    <row r="52" spans="1:2" x14ac:dyDescent="0.3">
      <c r="A52" t="s">
        <v>189</v>
      </c>
      <c r="B52">
        <v>3</v>
      </c>
    </row>
    <row r="53" spans="1:2" x14ac:dyDescent="0.3">
      <c r="A53" t="s">
        <v>190</v>
      </c>
    </row>
    <row r="54" spans="1:2" x14ac:dyDescent="0.3">
      <c r="A54" t="s">
        <v>191</v>
      </c>
    </row>
    <row r="55" spans="1:2" x14ac:dyDescent="0.3">
      <c r="A55" t="s">
        <v>192</v>
      </c>
    </row>
    <row r="56" spans="1:2" x14ac:dyDescent="0.3">
      <c r="A56" t="s">
        <v>193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">
                <anchor moveWithCells="1" sizeWithCells="1">
                  <from>
                    <xdr:col>3</xdr:col>
                    <xdr:colOff>236220</xdr:colOff>
                    <xdr:row>0</xdr:row>
                    <xdr:rowOff>114300</xdr:rowOff>
                  </from>
                  <to>
                    <xdr:col>6</xdr:col>
                    <xdr:colOff>342900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DC638-4BD6-40C6-95D5-BF52FDAA963C}">
  <sheetPr codeName="Arkusz2"/>
  <dimension ref="A1:AH41"/>
  <sheetViews>
    <sheetView zoomScale="80" zoomScaleNormal="80" workbookViewId="0">
      <pane xSplit="4" ySplit="1" topLeftCell="N9" activePane="bottomRight" state="frozen"/>
      <selection pane="topRight" activeCell="D1" sqref="D1"/>
      <selection pane="bottomLeft" activeCell="A2" sqref="A2"/>
      <selection pane="bottomRight" activeCell="V23" sqref="V23"/>
    </sheetView>
  </sheetViews>
  <sheetFormatPr defaultColWidth="9.109375" defaultRowHeight="13.2" x14ac:dyDescent="0.3"/>
  <cols>
    <col min="1" max="1" width="17.109375" style="1" customWidth="1"/>
    <col min="2" max="2" width="12.44140625" style="1" bestFit="1" customWidth="1"/>
    <col min="3" max="3" width="16.44140625" style="1" bestFit="1" customWidth="1"/>
    <col min="4" max="4" width="20.6640625" style="1" customWidth="1"/>
    <col min="5" max="6" width="15.6640625" style="1" customWidth="1"/>
    <col min="7" max="7" width="7.6640625" style="3" customWidth="1"/>
    <col min="8" max="9" width="15.6640625" style="1" customWidth="1"/>
    <col min="10" max="10" width="7.88671875" style="3" customWidth="1"/>
    <col min="11" max="12" width="15.6640625" style="1" customWidth="1"/>
    <col min="13" max="13" width="7.88671875" style="3" customWidth="1"/>
    <col min="14" max="15" width="15.6640625" style="1" customWidth="1"/>
    <col min="16" max="16" width="8.88671875" style="3" customWidth="1"/>
    <col min="17" max="18" width="15.6640625" style="1" customWidth="1"/>
    <col min="19" max="19" width="8.88671875" style="3" customWidth="1"/>
    <col min="20" max="21" width="15.6640625" style="1" customWidth="1"/>
    <col min="22" max="22" width="8.88671875" style="3" customWidth="1"/>
    <col min="23" max="25" width="30.6640625" style="1" customWidth="1"/>
    <col min="26" max="27" width="9.109375" style="1"/>
    <col min="28" max="28" width="11.88671875" style="1" bestFit="1" customWidth="1"/>
    <col min="29" max="30" width="9.109375" style="1"/>
    <col min="31" max="31" width="11.88671875" style="1" bestFit="1" customWidth="1"/>
    <col min="32" max="33" width="9.109375" style="1"/>
    <col min="34" max="34" width="11.88671875" style="1" bestFit="1" customWidth="1"/>
    <col min="35" max="16384" width="9.109375" style="1"/>
  </cols>
  <sheetData>
    <row r="1" spans="1:34" x14ac:dyDescent="0.3">
      <c r="B1" s="31"/>
      <c r="C1" s="31"/>
      <c r="D1" s="31"/>
      <c r="E1" s="31" t="s">
        <v>25</v>
      </c>
      <c r="F1" s="31"/>
      <c r="G1" s="31"/>
      <c r="H1" s="31" t="s">
        <v>40</v>
      </c>
      <c r="I1" s="31"/>
      <c r="J1" s="31"/>
      <c r="K1" s="31" t="s">
        <v>42</v>
      </c>
      <c r="L1" s="31"/>
      <c r="M1" s="31"/>
      <c r="N1" s="31" t="s">
        <v>43</v>
      </c>
      <c r="O1" s="31"/>
      <c r="P1" s="31"/>
      <c r="Q1" s="31" t="s">
        <v>44</v>
      </c>
      <c r="R1" s="31"/>
      <c r="S1" s="31"/>
      <c r="T1" s="31" t="s">
        <v>45</v>
      </c>
      <c r="U1" s="31"/>
      <c r="V1" s="31"/>
      <c r="W1" s="31" t="s">
        <v>128</v>
      </c>
      <c r="X1" s="31"/>
      <c r="Y1" s="31"/>
      <c r="Z1" s="31" t="s">
        <v>129</v>
      </c>
      <c r="AA1" s="31"/>
      <c r="AB1" s="31"/>
      <c r="AC1" s="31" t="s">
        <v>130</v>
      </c>
      <c r="AD1" s="31"/>
      <c r="AE1" s="31"/>
      <c r="AF1" s="32" t="s">
        <v>131</v>
      </c>
      <c r="AG1" s="31"/>
      <c r="AH1" s="31"/>
    </row>
    <row r="2" spans="1:34" s="3" customFormat="1" ht="26.4" x14ac:dyDescent="0.3">
      <c r="A2" s="1"/>
      <c r="B2" s="2" t="s">
        <v>0</v>
      </c>
      <c r="C2" s="2" t="s">
        <v>7</v>
      </c>
      <c r="D2" s="2" t="s">
        <v>8</v>
      </c>
      <c r="E2" s="8" t="s">
        <v>38</v>
      </c>
      <c r="F2" s="8" t="s">
        <v>39</v>
      </c>
      <c r="G2" s="8" t="s">
        <v>26</v>
      </c>
      <c r="H2" s="8" t="s">
        <v>51</v>
      </c>
      <c r="I2" s="8" t="s">
        <v>52</v>
      </c>
      <c r="J2" s="8" t="s">
        <v>53</v>
      </c>
      <c r="K2" s="8" t="s">
        <v>54</v>
      </c>
      <c r="L2" s="8" t="s">
        <v>55</v>
      </c>
      <c r="M2" s="8" t="s">
        <v>56</v>
      </c>
      <c r="N2" s="8" t="s">
        <v>57</v>
      </c>
      <c r="O2" s="8" t="s">
        <v>58</v>
      </c>
      <c r="P2" s="8" t="s">
        <v>59</v>
      </c>
      <c r="Q2" s="8" t="s">
        <v>60</v>
      </c>
      <c r="R2" s="8" t="s">
        <v>61</v>
      </c>
      <c r="S2" s="8" t="s">
        <v>62</v>
      </c>
      <c r="T2" s="8" t="s">
        <v>63</v>
      </c>
      <c r="U2" s="8" t="s">
        <v>64</v>
      </c>
      <c r="V2" s="8" t="s">
        <v>65</v>
      </c>
      <c r="W2" s="8" t="s">
        <v>116</v>
      </c>
      <c r="X2" s="8" t="s">
        <v>117</v>
      </c>
      <c r="Y2" s="8" t="s">
        <v>118</v>
      </c>
      <c r="Z2" s="8" t="s">
        <v>119</v>
      </c>
      <c r="AA2" s="8" t="s">
        <v>120</v>
      </c>
      <c r="AB2" s="8" t="s">
        <v>121</v>
      </c>
      <c r="AC2" s="8" t="s">
        <v>122</v>
      </c>
      <c r="AD2" s="8" t="s">
        <v>123</v>
      </c>
      <c r="AE2" s="8" t="s">
        <v>124</v>
      </c>
      <c r="AF2" s="7" t="s">
        <v>125</v>
      </c>
      <c r="AG2" s="8" t="s">
        <v>126</v>
      </c>
      <c r="AH2" s="8" t="s">
        <v>127</v>
      </c>
    </row>
    <row r="3" spans="1:34" s="3" customFormat="1" ht="30" customHeight="1" x14ac:dyDescent="0.3">
      <c r="A3" s="1"/>
      <c r="B3" s="31" t="s">
        <v>46</v>
      </c>
      <c r="C3" s="4" t="s">
        <v>2</v>
      </c>
      <c r="D3" s="28" t="s">
        <v>138</v>
      </c>
      <c r="E3" s="6" t="s">
        <v>30</v>
      </c>
      <c r="F3" s="3" t="s">
        <v>9</v>
      </c>
      <c r="G3" s="5">
        <v>4</v>
      </c>
      <c r="H3" s="6" t="s">
        <v>29</v>
      </c>
      <c r="I3" s="3" t="s">
        <v>70</v>
      </c>
      <c r="J3" s="5">
        <v>15</v>
      </c>
      <c r="K3" s="6" t="s">
        <v>27</v>
      </c>
      <c r="L3" s="3" t="s">
        <v>76</v>
      </c>
      <c r="M3" s="5">
        <v>0.5</v>
      </c>
      <c r="N3" s="6" t="s">
        <v>32</v>
      </c>
      <c r="O3" s="3" t="s">
        <v>88</v>
      </c>
      <c r="P3" s="5">
        <v>15</v>
      </c>
      <c r="Q3" s="6"/>
      <c r="S3" s="5"/>
      <c r="T3" s="6"/>
      <c r="V3" s="5"/>
      <c r="W3" s="6"/>
      <c r="Y3" s="5"/>
      <c r="Z3" s="6"/>
      <c r="AB3" s="5"/>
      <c r="AC3" s="6"/>
      <c r="AE3" s="5"/>
      <c r="AF3" s="6"/>
      <c r="AH3" s="5"/>
    </row>
    <row r="4" spans="1:34" s="3" customFormat="1" ht="30" customHeight="1" x14ac:dyDescent="0.3">
      <c r="A4" s="1"/>
      <c r="B4" s="31"/>
      <c r="C4" s="4" t="s">
        <v>3</v>
      </c>
      <c r="D4" s="28"/>
      <c r="E4" s="6" t="s">
        <v>28</v>
      </c>
      <c r="F4" s="3" t="s">
        <v>22</v>
      </c>
      <c r="G4" s="5">
        <v>2</v>
      </c>
      <c r="H4" s="6"/>
      <c r="J4" s="5"/>
      <c r="K4" s="6"/>
      <c r="M4" s="5"/>
      <c r="N4" s="6"/>
      <c r="P4" s="5"/>
      <c r="Q4" s="6"/>
      <c r="S4" s="5"/>
      <c r="T4" s="6"/>
      <c r="V4" s="5"/>
      <c r="W4" s="6"/>
      <c r="Y4" s="5"/>
      <c r="Z4" s="6"/>
      <c r="AB4" s="5"/>
      <c r="AC4" s="6"/>
      <c r="AE4" s="5"/>
      <c r="AF4" s="6"/>
      <c r="AH4" s="5"/>
    </row>
    <row r="5" spans="1:34" s="3" customFormat="1" ht="30" customHeight="1" x14ac:dyDescent="0.3">
      <c r="A5" s="1"/>
      <c r="B5" s="31"/>
      <c r="C5" s="4" t="s">
        <v>4</v>
      </c>
      <c r="D5" s="28" t="s">
        <v>176</v>
      </c>
      <c r="E5" s="6" t="s">
        <v>35</v>
      </c>
      <c r="F5" s="3" t="s">
        <v>169</v>
      </c>
      <c r="G5" s="5">
        <v>0.33</v>
      </c>
      <c r="H5" s="6" t="s">
        <v>33</v>
      </c>
      <c r="I5" s="3" t="s">
        <v>11</v>
      </c>
      <c r="J5" s="5">
        <v>1</v>
      </c>
      <c r="K5" s="6" t="s">
        <v>74</v>
      </c>
      <c r="L5" s="3" t="s">
        <v>82</v>
      </c>
      <c r="M5" s="3">
        <v>0.25</v>
      </c>
      <c r="N5" s="6" t="s">
        <v>27</v>
      </c>
      <c r="O5" s="3" t="s">
        <v>86</v>
      </c>
      <c r="P5" s="3">
        <v>0.2</v>
      </c>
      <c r="Q5" s="6" t="s">
        <v>27</v>
      </c>
      <c r="R5" s="3" t="s">
        <v>17</v>
      </c>
      <c r="S5" s="5">
        <v>0.25</v>
      </c>
      <c r="T5" s="6" t="s">
        <v>32</v>
      </c>
      <c r="U5" s="3" t="s">
        <v>186</v>
      </c>
      <c r="V5" s="5">
        <v>0.2</v>
      </c>
      <c r="W5" s="6" t="s">
        <v>27</v>
      </c>
      <c r="X5" s="3" t="s">
        <v>115</v>
      </c>
      <c r="Y5" s="5">
        <v>1</v>
      </c>
      <c r="Z5" s="6"/>
      <c r="AB5" s="5"/>
      <c r="AC5" s="6"/>
      <c r="AE5" s="5"/>
    </row>
    <row r="6" spans="1:34" s="3" customFormat="1" ht="30" customHeight="1" x14ac:dyDescent="0.3">
      <c r="A6" s="1"/>
      <c r="B6" s="31"/>
      <c r="C6" s="4" t="s">
        <v>5</v>
      </c>
      <c r="D6" s="28"/>
      <c r="E6" s="6"/>
      <c r="H6" s="6"/>
      <c r="K6" s="6"/>
      <c r="M6" s="5"/>
      <c r="N6" s="6"/>
      <c r="P6" s="5"/>
      <c r="Q6" s="6"/>
      <c r="S6" s="5"/>
      <c r="T6" s="6"/>
      <c r="W6" s="6"/>
      <c r="Y6" s="5"/>
      <c r="Z6" s="6"/>
      <c r="AB6" s="5"/>
      <c r="AC6" s="6"/>
      <c r="AE6" s="5"/>
      <c r="AF6" s="6"/>
      <c r="AH6" s="5"/>
    </row>
    <row r="7" spans="1:34" ht="30" customHeight="1" x14ac:dyDescent="0.3">
      <c r="A7" s="27">
        <v>45334</v>
      </c>
      <c r="B7" s="31"/>
      <c r="C7" s="4" t="s">
        <v>6</v>
      </c>
      <c r="D7" s="28" t="s">
        <v>137</v>
      </c>
      <c r="E7" s="6" t="s">
        <v>33</v>
      </c>
      <c r="F7" s="3" t="s">
        <v>155</v>
      </c>
      <c r="G7" s="7">
        <v>0.5</v>
      </c>
      <c r="H7" s="6" t="s">
        <v>30</v>
      </c>
      <c r="I7" s="3" t="s">
        <v>9</v>
      </c>
      <c r="J7" s="7">
        <v>2</v>
      </c>
      <c r="K7" s="6" t="s">
        <v>33</v>
      </c>
      <c r="L7" s="3" t="s">
        <v>34</v>
      </c>
      <c r="M7" s="26">
        <v>0.5</v>
      </c>
      <c r="N7" s="6" t="s">
        <v>35</v>
      </c>
      <c r="O7" s="3" t="s">
        <v>68</v>
      </c>
      <c r="P7" s="7">
        <v>0.4</v>
      </c>
      <c r="Q7" s="6" t="s">
        <v>33</v>
      </c>
      <c r="R7" s="3" t="s">
        <v>21</v>
      </c>
      <c r="S7" s="7">
        <v>2</v>
      </c>
      <c r="T7" s="6" t="s">
        <v>28</v>
      </c>
      <c r="U7" s="3" t="s">
        <v>24</v>
      </c>
      <c r="V7" s="5">
        <v>1</v>
      </c>
      <c r="W7" s="6" t="s">
        <v>28</v>
      </c>
      <c r="X7" s="3" t="s">
        <v>141</v>
      </c>
      <c r="Y7" s="5">
        <v>0.5</v>
      </c>
      <c r="Z7" s="6" t="s">
        <v>28</v>
      </c>
      <c r="AA7" s="3" t="s">
        <v>23</v>
      </c>
      <c r="AB7" s="5">
        <v>0.5</v>
      </c>
      <c r="AC7" s="6"/>
      <c r="AD7" s="3"/>
      <c r="AE7" s="5"/>
      <c r="AF7" s="6"/>
      <c r="AG7" s="3"/>
      <c r="AH7" s="5"/>
    </row>
    <row r="8" spans="1:34" s="3" customFormat="1" ht="30" customHeight="1" x14ac:dyDescent="0.3">
      <c r="A8" s="1"/>
      <c r="B8" s="31" t="s">
        <v>47</v>
      </c>
      <c r="C8" s="4" t="s">
        <v>2</v>
      </c>
      <c r="D8" s="28" t="s">
        <v>138</v>
      </c>
      <c r="E8" s="6" t="s">
        <v>30</v>
      </c>
      <c r="F8" s="3" t="s">
        <v>9</v>
      </c>
      <c r="G8" s="5">
        <v>4</v>
      </c>
      <c r="H8" s="6" t="s">
        <v>29</v>
      </c>
      <c r="I8" s="3" t="s">
        <v>70</v>
      </c>
      <c r="J8" s="5">
        <v>15</v>
      </c>
      <c r="K8" s="6" t="s">
        <v>27</v>
      </c>
      <c r="L8" s="3" t="s">
        <v>76</v>
      </c>
      <c r="M8" s="5">
        <v>0.5</v>
      </c>
      <c r="N8" s="6" t="s">
        <v>32</v>
      </c>
      <c r="O8" s="3" t="s">
        <v>88</v>
      </c>
      <c r="P8" s="5">
        <v>15</v>
      </c>
      <c r="Q8" s="6"/>
      <c r="S8" s="5"/>
      <c r="T8" s="6"/>
      <c r="V8" s="5"/>
      <c r="W8" s="6"/>
      <c r="Y8" s="5"/>
      <c r="Z8" s="6"/>
      <c r="AB8" s="5"/>
      <c r="AC8" s="6"/>
      <c r="AE8" s="5"/>
      <c r="AF8" s="6"/>
      <c r="AH8" s="5"/>
    </row>
    <row r="9" spans="1:34" s="3" customFormat="1" ht="30" customHeight="1" x14ac:dyDescent="0.3">
      <c r="A9" s="1"/>
      <c r="B9" s="31"/>
      <c r="C9" s="4" t="s">
        <v>3</v>
      </c>
      <c r="D9" s="28"/>
      <c r="E9" s="6" t="s">
        <v>28</v>
      </c>
      <c r="F9" s="3" t="s">
        <v>22</v>
      </c>
      <c r="G9" s="5">
        <v>2</v>
      </c>
      <c r="H9" s="6"/>
      <c r="J9" s="5"/>
      <c r="K9" s="6"/>
      <c r="M9" s="5"/>
      <c r="N9" s="6"/>
      <c r="P9" s="5"/>
      <c r="Q9" s="6"/>
      <c r="S9" s="5"/>
      <c r="T9" s="6"/>
      <c r="V9" s="5"/>
      <c r="W9" s="6"/>
      <c r="Y9" s="5"/>
      <c r="Z9" s="6"/>
      <c r="AB9" s="5"/>
      <c r="AC9" s="6"/>
      <c r="AE9" s="5"/>
      <c r="AF9" s="6"/>
      <c r="AH9" s="5"/>
    </row>
    <row r="10" spans="1:34" s="3" customFormat="1" ht="30" customHeight="1" x14ac:dyDescent="0.3">
      <c r="A10" s="27">
        <v>45335</v>
      </c>
      <c r="B10" s="31"/>
      <c r="C10" s="4" t="s">
        <v>4</v>
      </c>
      <c r="D10" s="28" t="s">
        <v>176</v>
      </c>
      <c r="E10" s="6" t="s">
        <v>35</v>
      </c>
      <c r="F10" s="3" t="s">
        <v>169</v>
      </c>
      <c r="G10" s="5">
        <v>0.33</v>
      </c>
      <c r="H10" s="6" t="s">
        <v>33</v>
      </c>
      <c r="I10" s="3" t="s">
        <v>11</v>
      </c>
      <c r="J10" s="5">
        <v>1</v>
      </c>
      <c r="K10" s="6" t="s">
        <v>74</v>
      </c>
      <c r="L10" s="3" t="s">
        <v>82</v>
      </c>
      <c r="M10" s="3">
        <v>0.25</v>
      </c>
      <c r="N10" s="6" t="s">
        <v>27</v>
      </c>
      <c r="O10" s="3" t="s">
        <v>86</v>
      </c>
      <c r="P10" s="3">
        <v>0.2</v>
      </c>
      <c r="Q10" s="6" t="s">
        <v>27</v>
      </c>
      <c r="R10" s="3" t="s">
        <v>17</v>
      </c>
      <c r="S10" s="5">
        <v>0.25</v>
      </c>
      <c r="T10" s="6" t="s">
        <v>32</v>
      </c>
      <c r="U10" s="3" t="s">
        <v>186</v>
      </c>
      <c r="V10" s="5">
        <v>0.2</v>
      </c>
      <c r="W10" s="6" t="s">
        <v>27</v>
      </c>
      <c r="X10" s="3" t="s">
        <v>115</v>
      </c>
      <c r="Y10" s="5">
        <v>1</v>
      </c>
      <c r="Z10" s="6"/>
      <c r="AB10" s="5"/>
      <c r="AC10" s="6"/>
      <c r="AE10" s="5"/>
    </row>
    <row r="11" spans="1:34" s="3" customFormat="1" ht="30" customHeight="1" x14ac:dyDescent="0.3">
      <c r="A11" s="1"/>
      <c r="B11" s="31"/>
      <c r="C11" s="4" t="s">
        <v>5</v>
      </c>
      <c r="D11" s="28"/>
      <c r="E11" s="6"/>
      <c r="G11" s="5"/>
      <c r="H11" s="6"/>
      <c r="J11" s="5"/>
      <c r="K11" s="6"/>
      <c r="M11" s="5"/>
      <c r="N11" s="6"/>
      <c r="P11" s="5"/>
      <c r="Q11" s="6"/>
      <c r="S11" s="5"/>
      <c r="T11" s="6"/>
      <c r="V11" s="5"/>
      <c r="W11" s="6"/>
      <c r="Y11" s="5"/>
      <c r="Z11" s="6"/>
      <c r="AB11" s="5"/>
      <c r="AC11" s="6"/>
      <c r="AE11" s="5"/>
      <c r="AF11" s="6"/>
      <c r="AH11" s="5"/>
    </row>
    <row r="12" spans="1:34" ht="30" customHeight="1" x14ac:dyDescent="0.3">
      <c r="B12" s="31"/>
      <c r="C12" s="4" t="s">
        <v>6</v>
      </c>
      <c r="D12" s="28" t="s">
        <v>137</v>
      </c>
      <c r="E12" s="6" t="s">
        <v>33</v>
      </c>
      <c r="F12" s="3" t="s">
        <v>155</v>
      </c>
      <c r="G12" s="7">
        <v>0.5</v>
      </c>
      <c r="H12" s="6" t="s">
        <v>30</v>
      </c>
      <c r="I12" s="3" t="s">
        <v>9</v>
      </c>
      <c r="J12" s="7">
        <v>2</v>
      </c>
      <c r="K12" s="6" t="s">
        <v>33</v>
      </c>
      <c r="L12" s="3" t="s">
        <v>34</v>
      </c>
      <c r="M12" s="26">
        <v>0.5</v>
      </c>
      <c r="N12" s="6" t="s">
        <v>35</v>
      </c>
      <c r="O12" s="3" t="s">
        <v>68</v>
      </c>
      <c r="P12" s="7">
        <v>0.4</v>
      </c>
      <c r="Q12" s="6" t="s">
        <v>33</v>
      </c>
      <c r="R12" s="3" t="s">
        <v>21</v>
      </c>
      <c r="S12" s="7">
        <v>2</v>
      </c>
      <c r="T12" s="6" t="s">
        <v>28</v>
      </c>
      <c r="U12" s="3" t="s">
        <v>24</v>
      </c>
      <c r="V12" s="5">
        <v>1</v>
      </c>
      <c r="W12" s="6" t="s">
        <v>28</v>
      </c>
      <c r="X12" s="3" t="s">
        <v>141</v>
      </c>
      <c r="Y12" s="5">
        <v>0.5</v>
      </c>
      <c r="Z12" s="6" t="s">
        <v>28</v>
      </c>
      <c r="AA12" s="3" t="s">
        <v>23</v>
      </c>
      <c r="AB12" s="5">
        <v>0.5</v>
      </c>
      <c r="AC12" s="6"/>
      <c r="AD12" s="3"/>
      <c r="AE12" s="5"/>
      <c r="AF12" s="6"/>
      <c r="AG12" s="3"/>
      <c r="AH12" s="5"/>
    </row>
    <row r="13" spans="1:34" s="3" customFormat="1" ht="30" customHeight="1" x14ac:dyDescent="0.3">
      <c r="A13" s="1"/>
      <c r="B13" s="31" t="s">
        <v>48</v>
      </c>
      <c r="C13" s="4" t="s">
        <v>2</v>
      </c>
      <c r="D13" s="28" t="s">
        <v>134</v>
      </c>
      <c r="E13" s="6" t="s">
        <v>33</v>
      </c>
      <c r="F13" s="3" t="s">
        <v>34</v>
      </c>
      <c r="G13" s="5">
        <v>0.3</v>
      </c>
      <c r="H13" s="6" t="s">
        <v>28</v>
      </c>
      <c r="I13" s="3" t="s">
        <v>71</v>
      </c>
      <c r="J13" s="5">
        <v>20</v>
      </c>
      <c r="K13" s="6" t="s">
        <v>33</v>
      </c>
      <c r="L13" s="3" t="s">
        <v>21</v>
      </c>
      <c r="M13" s="5">
        <v>2</v>
      </c>
      <c r="N13" s="6" t="s">
        <v>35</v>
      </c>
      <c r="O13" s="3" t="s">
        <v>67</v>
      </c>
      <c r="P13" s="5">
        <v>0.4</v>
      </c>
      <c r="Q13" s="6" t="s">
        <v>31</v>
      </c>
      <c r="R13" s="3" t="s">
        <v>133</v>
      </c>
      <c r="S13" s="5">
        <v>5</v>
      </c>
      <c r="T13" s="6"/>
      <c r="V13" s="5"/>
      <c r="W13" s="6"/>
      <c r="Y13" s="5"/>
      <c r="Z13" s="6"/>
      <c r="AB13" s="5"/>
      <c r="AC13" s="6"/>
      <c r="AE13" s="5"/>
      <c r="AF13" s="6"/>
      <c r="AH13" s="5"/>
    </row>
    <row r="14" spans="1:34" s="3" customFormat="1" ht="30" customHeight="1" x14ac:dyDescent="0.3">
      <c r="A14" s="1"/>
      <c r="B14" s="31"/>
      <c r="C14" s="4" t="s">
        <v>3</v>
      </c>
      <c r="D14" s="28"/>
      <c r="E14" s="6" t="s">
        <v>28</v>
      </c>
      <c r="F14" s="3" t="s">
        <v>22</v>
      </c>
      <c r="G14" s="5">
        <v>2</v>
      </c>
      <c r="H14" s="6"/>
      <c r="J14" s="5"/>
      <c r="K14" s="6"/>
      <c r="M14" s="5"/>
      <c r="N14" s="6"/>
      <c r="P14" s="5"/>
      <c r="Q14" s="6"/>
      <c r="S14" s="5"/>
      <c r="T14" s="6"/>
      <c r="V14" s="5"/>
      <c r="W14" s="6"/>
      <c r="Y14" s="5"/>
      <c r="Z14" s="6"/>
      <c r="AB14" s="5"/>
      <c r="AC14" s="6"/>
      <c r="AE14" s="5"/>
      <c r="AF14" s="6"/>
      <c r="AH14" s="5"/>
    </row>
    <row r="15" spans="1:34" s="3" customFormat="1" ht="30" customHeight="1" x14ac:dyDescent="0.3">
      <c r="A15" s="27">
        <v>45336</v>
      </c>
      <c r="B15" s="31"/>
      <c r="C15" s="4" t="s">
        <v>4</v>
      </c>
      <c r="D15" s="28" t="s">
        <v>177</v>
      </c>
      <c r="E15" s="6" t="s">
        <v>35</v>
      </c>
      <c r="F15" s="3" t="s">
        <v>178</v>
      </c>
      <c r="G15" s="5">
        <v>1.5</v>
      </c>
      <c r="H15" s="6" t="s">
        <v>29</v>
      </c>
      <c r="I15" s="3" t="s">
        <v>97</v>
      </c>
      <c r="J15" s="5">
        <v>0.4</v>
      </c>
      <c r="K15" s="6" t="s">
        <v>33</v>
      </c>
      <c r="L15" s="3" t="s">
        <v>90</v>
      </c>
      <c r="M15" s="3">
        <v>0.5</v>
      </c>
      <c r="N15" s="6" t="s">
        <v>27</v>
      </c>
      <c r="O15" s="3" t="s">
        <v>108</v>
      </c>
      <c r="P15" s="3">
        <v>0.5</v>
      </c>
      <c r="Q15" s="6" t="s">
        <v>33</v>
      </c>
      <c r="R15" s="3" t="s">
        <v>179</v>
      </c>
      <c r="S15" s="5">
        <v>0.5</v>
      </c>
      <c r="T15" s="6" t="s">
        <v>27</v>
      </c>
      <c r="U15" s="3" t="s">
        <v>115</v>
      </c>
      <c r="V15" s="5">
        <v>4</v>
      </c>
      <c r="W15" s="6" t="s">
        <v>27</v>
      </c>
      <c r="X15" s="3" t="s">
        <v>144</v>
      </c>
      <c r="Y15" s="5">
        <v>2</v>
      </c>
      <c r="Z15" s="6" t="s">
        <v>31</v>
      </c>
      <c r="AA15" s="3" t="s">
        <v>180</v>
      </c>
      <c r="AB15" s="5">
        <v>0.2</v>
      </c>
      <c r="AC15" s="6" t="s">
        <v>31</v>
      </c>
      <c r="AD15" s="3" t="s">
        <v>181</v>
      </c>
      <c r="AE15" s="5">
        <v>0.1</v>
      </c>
      <c r="AF15" s="6" t="s">
        <v>33</v>
      </c>
      <c r="AG15" s="3" t="s">
        <v>185</v>
      </c>
      <c r="AH15" s="5">
        <v>0.5</v>
      </c>
    </row>
    <row r="16" spans="1:34" s="3" customFormat="1" ht="30" customHeight="1" x14ac:dyDescent="0.3">
      <c r="A16" s="1"/>
      <c r="B16" s="31"/>
      <c r="C16" s="4" t="s">
        <v>5</v>
      </c>
      <c r="D16" s="28"/>
      <c r="E16" s="17"/>
      <c r="H16" s="6"/>
      <c r="K16" s="6"/>
      <c r="M16" s="5"/>
      <c r="N16" s="6"/>
      <c r="P16" s="5"/>
      <c r="Q16" s="6"/>
      <c r="S16" s="5"/>
      <c r="T16" s="6"/>
      <c r="V16" s="5"/>
      <c r="W16" s="6"/>
      <c r="Y16" s="5"/>
      <c r="Z16" s="6"/>
      <c r="AB16" s="5"/>
      <c r="AC16" s="6"/>
      <c r="AE16" s="5"/>
      <c r="AF16" s="6"/>
      <c r="AH16" s="5"/>
    </row>
    <row r="17" spans="1:34" ht="30" customHeight="1" x14ac:dyDescent="0.3">
      <c r="B17" s="31"/>
      <c r="C17" s="4" t="s">
        <v>6</v>
      </c>
      <c r="D17" s="28" t="s">
        <v>150</v>
      </c>
      <c r="E17" s="6" t="s">
        <v>35</v>
      </c>
      <c r="F17" s="3" t="s">
        <v>75</v>
      </c>
      <c r="G17" s="5">
        <v>2</v>
      </c>
      <c r="H17" s="6" t="s">
        <v>27</v>
      </c>
      <c r="I17" s="3" t="s">
        <v>17</v>
      </c>
      <c r="J17" s="5">
        <v>0.7</v>
      </c>
      <c r="K17" s="6" t="s">
        <v>32</v>
      </c>
      <c r="L17" s="3" t="s">
        <v>14</v>
      </c>
      <c r="M17" s="5">
        <v>1</v>
      </c>
      <c r="N17" s="6" t="s">
        <v>31</v>
      </c>
      <c r="O17" s="3" t="s">
        <v>73</v>
      </c>
      <c r="P17" s="5">
        <v>0.2</v>
      </c>
      <c r="Q17" s="6" t="s">
        <v>33</v>
      </c>
      <c r="R17" s="3" t="s">
        <v>90</v>
      </c>
      <c r="S17" s="5">
        <v>0.5</v>
      </c>
      <c r="T17" s="6" t="s">
        <v>29</v>
      </c>
      <c r="U17" s="3" t="s">
        <v>72</v>
      </c>
      <c r="V17" s="5">
        <v>10</v>
      </c>
      <c r="W17" s="6" t="s">
        <v>32</v>
      </c>
      <c r="X17" s="3" t="s">
        <v>93</v>
      </c>
      <c r="Y17" s="5">
        <v>0.5</v>
      </c>
      <c r="Z17" s="6" t="s">
        <v>27</v>
      </c>
      <c r="AA17" s="3" t="s">
        <v>13</v>
      </c>
      <c r="AB17" s="5">
        <v>1</v>
      </c>
      <c r="AC17" s="6"/>
      <c r="AD17" s="3"/>
      <c r="AE17" s="5"/>
      <c r="AF17" s="6"/>
      <c r="AG17" s="3"/>
      <c r="AH17" s="5"/>
    </row>
    <row r="18" spans="1:34" s="3" customFormat="1" ht="30" customHeight="1" x14ac:dyDescent="0.3">
      <c r="A18" s="1"/>
      <c r="B18" s="31" t="s">
        <v>49</v>
      </c>
      <c r="C18" s="4" t="s">
        <v>2</v>
      </c>
      <c r="D18" s="28" t="s">
        <v>139</v>
      </c>
      <c r="E18" s="6" t="s">
        <v>33</v>
      </c>
      <c r="F18" s="3" t="s">
        <v>34</v>
      </c>
      <c r="G18" s="5">
        <v>0.3</v>
      </c>
      <c r="H18" s="6" t="s">
        <v>35</v>
      </c>
      <c r="I18" s="3" t="s">
        <v>68</v>
      </c>
      <c r="J18" s="5">
        <v>0.3</v>
      </c>
      <c r="K18" s="6" t="s">
        <v>33</v>
      </c>
      <c r="L18" s="3" t="s">
        <v>21</v>
      </c>
      <c r="M18" s="5">
        <v>2</v>
      </c>
      <c r="N18" s="6" t="s">
        <v>30</v>
      </c>
      <c r="O18" s="3" t="s">
        <v>9</v>
      </c>
      <c r="P18" s="5">
        <v>3</v>
      </c>
      <c r="Q18" s="6" t="s">
        <v>28</v>
      </c>
      <c r="R18" s="3" t="s">
        <v>113</v>
      </c>
      <c r="S18" s="5">
        <v>1</v>
      </c>
      <c r="T18" s="6"/>
      <c r="V18" s="5"/>
      <c r="W18" s="6"/>
      <c r="Y18" s="5"/>
      <c r="Z18" s="6"/>
      <c r="AB18" s="5"/>
      <c r="AC18" s="6"/>
      <c r="AE18" s="5"/>
      <c r="AF18" s="6"/>
      <c r="AH18" s="5"/>
    </row>
    <row r="19" spans="1:34" s="3" customFormat="1" ht="30" customHeight="1" x14ac:dyDescent="0.3">
      <c r="A19" s="1"/>
      <c r="B19" s="31"/>
      <c r="C19" s="4" t="s">
        <v>3</v>
      </c>
      <c r="D19" s="28"/>
      <c r="E19" s="6" t="s">
        <v>28</v>
      </c>
      <c r="F19" s="3" t="s">
        <v>22</v>
      </c>
      <c r="G19" s="5">
        <v>2</v>
      </c>
      <c r="H19" s="6"/>
      <c r="J19" s="5"/>
      <c r="K19" s="6"/>
      <c r="M19" s="5"/>
      <c r="N19" s="6"/>
      <c r="P19" s="5"/>
      <c r="Q19" s="6"/>
      <c r="S19" s="5"/>
      <c r="T19" s="6"/>
      <c r="V19" s="5"/>
      <c r="W19" s="6"/>
      <c r="Y19" s="5"/>
      <c r="Z19" s="6"/>
      <c r="AB19" s="5"/>
      <c r="AC19" s="6"/>
      <c r="AE19" s="5"/>
      <c r="AF19" s="6"/>
      <c r="AH19" s="5"/>
    </row>
    <row r="20" spans="1:34" s="3" customFormat="1" ht="30" customHeight="1" x14ac:dyDescent="0.3">
      <c r="A20" s="27">
        <v>45337</v>
      </c>
      <c r="B20" s="31"/>
      <c r="C20" s="4" t="s">
        <v>4</v>
      </c>
      <c r="D20" s="28" t="s">
        <v>177</v>
      </c>
      <c r="E20" s="6" t="s">
        <v>35</v>
      </c>
      <c r="F20" s="3" t="s">
        <v>178</v>
      </c>
      <c r="G20" s="5">
        <v>1.5</v>
      </c>
      <c r="H20" s="6" t="s">
        <v>29</v>
      </c>
      <c r="I20" s="3" t="s">
        <v>97</v>
      </c>
      <c r="J20" s="5">
        <v>0.4</v>
      </c>
      <c r="K20" s="6" t="s">
        <v>33</v>
      </c>
      <c r="L20" s="3" t="s">
        <v>90</v>
      </c>
      <c r="M20" s="3">
        <v>0.5</v>
      </c>
      <c r="N20" s="6" t="s">
        <v>27</v>
      </c>
      <c r="O20" s="3" t="s">
        <v>108</v>
      </c>
      <c r="P20" s="3">
        <v>0.5</v>
      </c>
      <c r="Q20" s="6" t="s">
        <v>33</v>
      </c>
      <c r="R20" s="3" t="s">
        <v>179</v>
      </c>
      <c r="S20" s="5">
        <v>0.5</v>
      </c>
      <c r="T20" s="6" t="s">
        <v>27</v>
      </c>
      <c r="U20" s="3" t="s">
        <v>115</v>
      </c>
      <c r="V20" s="5">
        <v>4</v>
      </c>
      <c r="W20" s="6" t="s">
        <v>27</v>
      </c>
      <c r="X20" s="3" t="s">
        <v>144</v>
      </c>
      <c r="Y20" s="5">
        <v>2</v>
      </c>
      <c r="Z20" s="6" t="s">
        <v>31</v>
      </c>
      <c r="AA20" s="3" t="s">
        <v>180</v>
      </c>
      <c r="AB20" s="5">
        <v>0.2</v>
      </c>
      <c r="AC20" s="6" t="s">
        <v>31</v>
      </c>
      <c r="AD20" s="3" t="s">
        <v>181</v>
      </c>
      <c r="AE20" s="5">
        <v>0.1</v>
      </c>
      <c r="AF20" s="6" t="s">
        <v>33</v>
      </c>
      <c r="AG20" s="3" t="s">
        <v>185</v>
      </c>
      <c r="AH20" s="5">
        <v>0.5</v>
      </c>
    </row>
    <row r="21" spans="1:34" s="3" customFormat="1" ht="30" customHeight="1" x14ac:dyDescent="0.3">
      <c r="A21" s="1"/>
      <c r="B21" s="31"/>
      <c r="C21" s="4" t="s">
        <v>5</v>
      </c>
      <c r="D21" s="28"/>
      <c r="E21" s="17"/>
      <c r="H21" s="6"/>
      <c r="K21" s="6"/>
      <c r="M21" s="5"/>
      <c r="N21" s="6"/>
      <c r="P21" s="5"/>
      <c r="Q21" s="6"/>
      <c r="S21" s="5"/>
      <c r="T21" s="6"/>
      <c r="V21" s="5"/>
      <c r="W21" s="6"/>
      <c r="Y21" s="5"/>
      <c r="Z21" s="6"/>
      <c r="AB21" s="5"/>
      <c r="AC21" s="6"/>
      <c r="AE21" s="5"/>
      <c r="AF21" s="6"/>
      <c r="AH21" s="5"/>
    </row>
    <row r="22" spans="1:34" ht="30" customHeight="1" x14ac:dyDescent="0.3">
      <c r="B22" s="31"/>
      <c r="C22" s="4" t="s">
        <v>6</v>
      </c>
      <c r="D22" s="28" t="s">
        <v>150</v>
      </c>
      <c r="E22" s="6" t="s">
        <v>35</v>
      </c>
      <c r="F22" s="3" t="s">
        <v>75</v>
      </c>
      <c r="G22" s="5">
        <v>2</v>
      </c>
      <c r="H22" s="6" t="s">
        <v>27</v>
      </c>
      <c r="I22" s="3" t="s">
        <v>17</v>
      </c>
      <c r="J22" s="3">
        <v>0.7</v>
      </c>
      <c r="K22" s="6" t="s">
        <v>32</v>
      </c>
      <c r="L22" s="3" t="s">
        <v>14</v>
      </c>
      <c r="M22" s="5">
        <v>1</v>
      </c>
      <c r="N22" s="6" t="s">
        <v>31</v>
      </c>
      <c r="O22" s="3" t="s">
        <v>73</v>
      </c>
      <c r="P22" s="5">
        <v>0.2</v>
      </c>
      <c r="Q22" s="6" t="s">
        <v>33</v>
      </c>
      <c r="R22" s="3" t="s">
        <v>90</v>
      </c>
      <c r="S22" s="5">
        <v>0.5</v>
      </c>
      <c r="T22" s="6" t="s">
        <v>29</v>
      </c>
      <c r="U22" s="3" t="s">
        <v>72</v>
      </c>
      <c r="V22" s="1">
        <v>10</v>
      </c>
      <c r="W22" s="6" t="s">
        <v>32</v>
      </c>
      <c r="X22" s="3" t="s">
        <v>93</v>
      </c>
      <c r="Y22" s="5">
        <v>0.5</v>
      </c>
      <c r="Z22" s="6" t="s">
        <v>27</v>
      </c>
      <c r="AA22" s="3" t="s">
        <v>13</v>
      </c>
      <c r="AB22" s="5">
        <v>1</v>
      </c>
      <c r="AC22" s="6"/>
      <c r="AD22" s="3"/>
      <c r="AE22" s="5"/>
      <c r="AF22" s="3"/>
      <c r="AG22" s="3"/>
      <c r="AH22" s="3"/>
    </row>
    <row r="23" spans="1:34" s="3" customFormat="1" ht="30" customHeight="1" x14ac:dyDescent="0.3">
      <c r="A23" s="1"/>
      <c r="B23" s="31" t="s">
        <v>1</v>
      </c>
      <c r="C23" s="4" t="s">
        <v>2</v>
      </c>
      <c r="D23" s="28" t="s">
        <v>134</v>
      </c>
      <c r="E23" s="6" t="s">
        <v>33</v>
      </c>
      <c r="F23" s="3" t="s">
        <v>34</v>
      </c>
      <c r="G23" s="5">
        <v>0.3</v>
      </c>
      <c r="H23" s="6" t="s">
        <v>28</v>
      </c>
      <c r="I23" s="3" t="s">
        <v>71</v>
      </c>
      <c r="J23" s="5">
        <v>20</v>
      </c>
      <c r="K23" s="6" t="s">
        <v>33</v>
      </c>
      <c r="L23" s="3" t="s">
        <v>21</v>
      </c>
      <c r="M23" s="5">
        <v>2</v>
      </c>
      <c r="N23" s="6" t="s">
        <v>35</v>
      </c>
      <c r="O23" s="3" t="s">
        <v>67</v>
      </c>
      <c r="P23" s="5">
        <v>0.4</v>
      </c>
      <c r="Q23" s="6" t="s">
        <v>31</v>
      </c>
      <c r="R23" s="3" t="s">
        <v>133</v>
      </c>
      <c r="S23" s="5">
        <v>5</v>
      </c>
      <c r="T23" s="6"/>
      <c r="V23" s="5"/>
      <c r="W23" s="6"/>
      <c r="Y23" s="5"/>
      <c r="Z23" s="6"/>
      <c r="AB23" s="5"/>
      <c r="AC23" s="6"/>
      <c r="AE23" s="5"/>
      <c r="AF23" s="6"/>
      <c r="AH23" s="5"/>
    </row>
    <row r="24" spans="1:34" s="3" customFormat="1" ht="30" customHeight="1" x14ac:dyDescent="0.3">
      <c r="A24" s="1"/>
      <c r="B24" s="31"/>
      <c r="C24" s="4" t="s">
        <v>3</v>
      </c>
      <c r="D24" s="4"/>
      <c r="E24" s="6"/>
      <c r="G24" s="5"/>
      <c r="H24" s="6"/>
      <c r="J24" s="5"/>
      <c r="K24" s="6"/>
      <c r="M24" s="5"/>
      <c r="N24" s="6"/>
      <c r="P24" s="5"/>
      <c r="Q24" s="6"/>
      <c r="S24" s="5"/>
      <c r="T24" s="6"/>
      <c r="V24" s="5"/>
      <c r="W24" s="6"/>
      <c r="Y24" s="5"/>
      <c r="Z24" s="6"/>
      <c r="AB24" s="5"/>
      <c r="AC24" s="6"/>
      <c r="AE24" s="5"/>
      <c r="AF24" s="6"/>
      <c r="AH24" s="5"/>
    </row>
    <row r="25" spans="1:34" s="3" customFormat="1" ht="30" customHeight="1" x14ac:dyDescent="0.3">
      <c r="A25" s="27">
        <v>45338</v>
      </c>
      <c r="B25" s="31"/>
      <c r="C25" s="4" t="s">
        <v>4</v>
      </c>
      <c r="D25" s="4"/>
      <c r="E25" s="6"/>
      <c r="G25" s="5"/>
      <c r="H25" s="6"/>
      <c r="J25" s="5"/>
      <c r="K25" s="6"/>
      <c r="N25" s="6"/>
      <c r="Q25" s="6"/>
      <c r="S25" s="5"/>
      <c r="T25" s="6"/>
      <c r="V25" s="5"/>
      <c r="W25" s="6"/>
      <c r="Y25" s="5"/>
      <c r="Z25" s="6"/>
      <c r="AB25" s="5"/>
      <c r="AC25" s="6"/>
      <c r="AE25" s="5"/>
      <c r="AF25" s="6"/>
      <c r="AH25" s="5"/>
    </row>
    <row r="26" spans="1:34" s="3" customFormat="1" ht="30" customHeight="1" x14ac:dyDescent="0.3">
      <c r="A26" s="1"/>
      <c r="B26" s="31"/>
      <c r="C26" s="4" t="s">
        <v>5</v>
      </c>
      <c r="D26" s="4"/>
      <c r="E26" s="6"/>
      <c r="G26" s="5"/>
      <c r="H26" s="6"/>
      <c r="K26" s="6"/>
      <c r="M26" s="5"/>
      <c r="N26" s="6"/>
      <c r="P26" s="5"/>
      <c r="Q26" s="6"/>
      <c r="S26" s="5"/>
      <c r="T26" s="6"/>
      <c r="V26" s="5"/>
      <c r="W26" s="6"/>
      <c r="Y26" s="5"/>
      <c r="Z26" s="6"/>
      <c r="AB26" s="5"/>
      <c r="AC26" s="6"/>
      <c r="AE26" s="5"/>
      <c r="AF26" s="6"/>
      <c r="AH26" s="5"/>
    </row>
    <row r="27" spans="1:34" ht="30" customHeight="1" x14ac:dyDescent="0.3">
      <c r="B27" s="31"/>
      <c r="C27" s="4" t="s">
        <v>6</v>
      </c>
      <c r="D27" s="4"/>
      <c r="E27" s="17"/>
      <c r="F27" s="3"/>
      <c r="H27" s="6"/>
      <c r="I27" s="3"/>
      <c r="K27" s="6"/>
      <c r="L27" s="3"/>
      <c r="M27" s="5"/>
      <c r="N27" s="6"/>
      <c r="O27" s="3"/>
      <c r="P27" s="5"/>
      <c r="Q27" s="6"/>
      <c r="R27" s="3"/>
      <c r="S27" s="5"/>
      <c r="T27" s="6"/>
      <c r="U27" s="3"/>
      <c r="V27" s="5"/>
      <c r="W27" s="6"/>
      <c r="X27" s="3"/>
      <c r="Y27" s="5"/>
      <c r="Z27" s="6"/>
      <c r="AA27" s="3"/>
      <c r="AB27" s="5"/>
      <c r="AC27" s="6"/>
      <c r="AD27" s="3"/>
      <c r="AE27" s="5"/>
      <c r="AF27" s="6"/>
      <c r="AG27" s="3"/>
      <c r="AH27" s="5"/>
    </row>
    <row r="28" spans="1:34" s="3" customFormat="1" ht="30" customHeight="1" x14ac:dyDescent="0.3">
      <c r="A28" s="1"/>
      <c r="B28" s="31" t="s">
        <v>41</v>
      </c>
      <c r="C28" s="4" t="s">
        <v>2</v>
      </c>
      <c r="D28" s="28" t="s">
        <v>109</v>
      </c>
      <c r="E28" s="6" t="s">
        <v>30</v>
      </c>
      <c r="F28" s="3" t="s">
        <v>9</v>
      </c>
      <c r="G28" s="5">
        <v>3</v>
      </c>
      <c r="H28" s="6" t="s">
        <v>27</v>
      </c>
      <c r="I28" s="3" t="s">
        <v>108</v>
      </c>
      <c r="J28" s="5">
        <v>1</v>
      </c>
      <c r="K28" s="6"/>
      <c r="M28" s="5"/>
      <c r="N28" s="6" t="s">
        <v>32</v>
      </c>
      <c r="O28" s="3" t="s">
        <v>100</v>
      </c>
      <c r="P28" s="5">
        <v>1</v>
      </c>
      <c r="Q28" s="6" t="s">
        <v>27</v>
      </c>
      <c r="R28" s="3" t="s">
        <v>86</v>
      </c>
      <c r="S28" s="5">
        <v>0.2</v>
      </c>
      <c r="T28" s="6" t="s">
        <v>30</v>
      </c>
      <c r="U28" s="3" t="s">
        <v>95</v>
      </c>
      <c r="V28" s="5">
        <v>1</v>
      </c>
      <c r="W28" s="6" t="s">
        <v>31</v>
      </c>
      <c r="X28" s="3" t="s">
        <v>101</v>
      </c>
      <c r="Y28" s="5">
        <v>0.5</v>
      </c>
      <c r="Z28" s="6"/>
      <c r="AB28" s="5"/>
      <c r="AC28" s="6"/>
      <c r="AE28" s="5"/>
      <c r="AF28" s="6"/>
      <c r="AH28" s="5"/>
    </row>
    <row r="29" spans="1:34" s="3" customFormat="1" ht="30" customHeight="1" x14ac:dyDescent="0.3">
      <c r="A29" s="1"/>
      <c r="B29" s="31"/>
      <c r="C29" s="4" t="s">
        <v>3</v>
      </c>
      <c r="D29" s="28"/>
      <c r="E29" s="6" t="s">
        <v>35</v>
      </c>
      <c r="F29" s="3" t="s">
        <v>36</v>
      </c>
      <c r="G29" s="5">
        <v>0.5</v>
      </c>
      <c r="H29" s="6" t="s">
        <v>33</v>
      </c>
      <c r="I29" s="3" t="s">
        <v>11</v>
      </c>
      <c r="J29" s="5">
        <v>1</v>
      </c>
      <c r="K29" s="6"/>
      <c r="L29" s="1" t="s">
        <v>174</v>
      </c>
      <c r="M29" s="5">
        <v>1</v>
      </c>
      <c r="N29" s="6"/>
      <c r="O29" s="1" t="s">
        <v>175</v>
      </c>
      <c r="P29" s="1">
        <v>1</v>
      </c>
      <c r="Q29" s="6"/>
      <c r="S29" s="5"/>
      <c r="T29" s="6"/>
      <c r="V29" s="5"/>
      <c r="W29" s="6"/>
      <c r="Y29" s="5"/>
      <c r="Z29" s="6"/>
      <c r="AB29" s="5"/>
      <c r="AC29" s="6"/>
      <c r="AE29" s="5"/>
      <c r="AF29" s="6"/>
      <c r="AH29" s="5"/>
    </row>
    <row r="30" spans="1:34" s="3" customFormat="1" ht="30" customHeight="1" x14ac:dyDescent="0.3">
      <c r="A30" s="27">
        <v>45332</v>
      </c>
      <c r="B30" s="31"/>
      <c r="C30" s="4" t="s">
        <v>4</v>
      </c>
      <c r="D30" s="28"/>
      <c r="E30" s="6"/>
      <c r="G30" s="5"/>
      <c r="H30" s="6"/>
      <c r="I30" s="1"/>
      <c r="K30" s="6"/>
      <c r="M30" s="5"/>
      <c r="N30" s="6"/>
      <c r="P30" s="5"/>
      <c r="Q30" s="6"/>
      <c r="S30" s="5"/>
      <c r="T30" s="6"/>
      <c r="V30" s="5"/>
      <c r="W30" s="6"/>
      <c r="Y30" s="5"/>
      <c r="Z30" s="6"/>
      <c r="AB30" s="5"/>
      <c r="AC30" s="6"/>
      <c r="AE30" s="5"/>
      <c r="AF30" s="6"/>
      <c r="AH30" s="5"/>
    </row>
    <row r="31" spans="1:34" s="3" customFormat="1" ht="30" customHeight="1" x14ac:dyDescent="0.3">
      <c r="A31" s="1"/>
      <c r="B31" s="31"/>
      <c r="C31" s="4" t="s">
        <v>5</v>
      </c>
      <c r="D31" s="28"/>
      <c r="E31" s="6"/>
      <c r="G31" s="5"/>
      <c r="H31" s="6"/>
      <c r="K31" s="6"/>
      <c r="M31" s="5"/>
      <c r="N31" s="6"/>
      <c r="P31" s="5"/>
      <c r="Q31" s="6"/>
      <c r="S31" s="5"/>
      <c r="T31" s="6"/>
      <c r="V31" s="5"/>
      <c r="W31" s="6"/>
      <c r="Y31" s="5"/>
      <c r="Z31" s="6"/>
      <c r="AB31" s="5"/>
      <c r="AC31" s="6"/>
      <c r="AE31" s="5"/>
      <c r="AF31" s="6"/>
      <c r="AH31" s="5"/>
    </row>
    <row r="32" spans="1:34" ht="30" customHeight="1" x14ac:dyDescent="0.3">
      <c r="B32" s="31"/>
      <c r="C32" s="4" t="s">
        <v>6</v>
      </c>
      <c r="D32" s="28" t="s">
        <v>168</v>
      </c>
      <c r="E32" s="6" t="s">
        <v>27</v>
      </c>
      <c r="F32" s="3" t="s">
        <v>20</v>
      </c>
      <c r="G32" s="5">
        <v>1</v>
      </c>
      <c r="H32" s="6" t="s">
        <v>29</v>
      </c>
      <c r="I32" s="3" t="s">
        <v>72</v>
      </c>
      <c r="J32" s="3">
        <v>7.5</v>
      </c>
      <c r="K32" s="6" t="s">
        <v>32</v>
      </c>
      <c r="L32" s="3" t="s">
        <v>77</v>
      </c>
      <c r="M32" s="5">
        <v>7.5</v>
      </c>
      <c r="N32" s="6" t="s">
        <v>27</v>
      </c>
      <c r="O32" s="3" t="s">
        <v>18</v>
      </c>
      <c r="P32" s="5">
        <v>0.75</v>
      </c>
      <c r="Q32" s="6" t="s">
        <v>27</v>
      </c>
      <c r="R32" s="3" t="s">
        <v>86</v>
      </c>
      <c r="S32" s="5">
        <v>0.25</v>
      </c>
      <c r="T32" s="6" t="s">
        <v>35</v>
      </c>
      <c r="U32" s="3" t="s">
        <v>167</v>
      </c>
      <c r="V32" s="5">
        <v>0.5</v>
      </c>
      <c r="W32" s="6" t="s">
        <v>27</v>
      </c>
      <c r="X32" s="3" t="s">
        <v>86</v>
      </c>
      <c r="Y32" s="5">
        <v>0.2</v>
      </c>
      <c r="Z32" s="6"/>
      <c r="AA32" s="3"/>
      <c r="AB32" s="5"/>
      <c r="AC32" s="6"/>
      <c r="AD32" s="3"/>
      <c r="AE32" s="5"/>
      <c r="AF32" s="6"/>
      <c r="AG32" s="3"/>
      <c r="AH32" s="5"/>
    </row>
    <row r="33" spans="1:34" ht="30" customHeight="1" x14ac:dyDescent="0.3">
      <c r="B33" s="31" t="s">
        <v>50</v>
      </c>
      <c r="C33" s="4" t="s">
        <v>2</v>
      </c>
      <c r="D33" s="28" t="s">
        <v>139</v>
      </c>
      <c r="E33" s="6" t="s">
        <v>33</v>
      </c>
      <c r="F33" s="3" t="s">
        <v>34</v>
      </c>
      <c r="G33" s="5">
        <v>0.3</v>
      </c>
      <c r="H33" s="6" t="s">
        <v>35</v>
      </c>
      <c r="I33" s="3" t="s">
        <v>68</v>
      </c>
      <c r="J33" s="5">
        <v>0.3</v>
      </c>
      <c r="K33" s="6" t="s">
        <v>33</v>
      </c>
      <c r="L33" s="3" t="s">
        <v>21</v>
      </c>
      <c r="M33" s="5">
        <v>2</v>
      </c>
      <c r="N33" s="6" t="s">
        <v>30</v>
      </c>
      <c r="O33" s="3" t="s">
        <v>9</v>
      </c>
      <c r="P33" s="5">
        <v>3</v>
      </c>
      <c r="Q33" s="6" t="s">
        <v>28</v>
      </c>
      <c r="R33" s="3" t="s">
        <v>113</v>
      </c>
      <c r="S33" s="5">
        <v>1</v>
      </c>
      <c r="T33" s="6"/>
      <c r="U33" s="3"/>
      <c r="V33" s="5"/>
      <c r="W33" s="6"/>
      <c r="X33" s="3"/>
      <c r="Y33" s="5"/>
      <c r="Z33" s="6"/>
      <c r="AA33" s="3"/>
      <c r="AB33" s="5"/>
      <c r="AC33" s="6"/>
      <c r="AD33" s="3"/>
      <c r="AE33" s="5"/>
      <c r="AF33" s="6"/>
      <c r="AG33" s="3"/>
      <c r="AH33" s="5"/>
    </row>
    <row r="34" spans="1:34" ht="30" customHeight="1" x14ac:dyDescent="0.3">
      <c r="B34" s="31"/>
      <c r="C34" s="4" t="s">
        <v>3</v>
      </c>
      <c r="D34" s="28"/>
      <c r="E34" s="6"/>
      <c r="F34" s="3"/>
      <c r="G34" s="5"/>
      <c r="H34" s="6"/>
      <c r="I34" s="3"/>
      <c r="J34" s="5"/>
      <c r="K34" s="6"/>
      <c r="L34" s="3"/>
      <c r="M34" s="5"/>
      <c r="N34" s="6"/>
      <c r="O34" s="3"/>
      <c r="P34" s="5"/>
      <c r="Q34" s="6"/>
      <c r="R34" s="3"/>
      <c r="S34" s="5"/>
      <c r="T34" s="6"/>
      <c r="U34" s="3"/>
      <c r="V34" s="5"/>
      <c r="W34" s="6"/>
      <c r="X34" s="3"/>
      <c r="Y34" s="5"/>
      <c r="Z34" s="6"/>
      <c r="AA34" s="3"/>
      <c r="AB34" s="5"/>
      <c r="AC34" s="6"/>
      <c r="AD34" s="3"/>
      <c r="AE34" s="5"/>
      <c r="AF34" s="6"/>
      <c r="AG34" s="3"/>
      <c r="AH34" s="5"/>
    </row>
    <row r="35" spans="1:34" ht="30" customHeight="1" x14ac:dyDescent="0.3">
      <c r="A35" s="27">
        <v>45333</v>
      </c>
      <c r="B35" s="31"/>
      <c r="C35" s="4" t="s">
        <v>4</v>
      </c>
      <c r="D35" s="28" t="s">
        <v>173</v>
      </c>
      <c r="E35" s="6"/>
      <c r="F35" s="3"/>
      <c r="G35" s="7"/>
      <c r="H35" s="6"/>
      <c r="J35" s="7"/>
      <c r="K35" s="6"/>
      <c r="L35" s="3"/>
      <c r="M35" s="26"/>
      <c r="N35" s="6"/>
      <c r="O35" s="3"/>
      <c r="P35" s="7"/>
      <c r="Q35" s="6"/>
      <c r="R35" s="3"/>
      <c r="S35" s="7"/>
      <c r="T35" s="6"/>
      <c r="U35" s="3"/>
      <c r="V35" s="5"/>
      <c r="W35" s="6"/>
      <c r="X35" s="3"/>
      <c r="Y35" s="5"/>
      <c r="Z35" s="6"/>
      <c r="AA35" s="3"/>
      <c r="AB35" s="5"/>
      <c r="AC35" s="6"/>
      <c r="AD35" s="3"/>
      <c r="AE35" s="5"/>
      <c r="AF35" s="6"/>
      <c r="AG35" s="3"/>
      <c r="AH35" s="5"/>
    </row>
    <row r="36" spans="1:34" ht="30" customHeight="1" x14ac:dyDescent="0.3">
      <c r="B36" s="31"/>
      <c r="C36" s="4" t="s">
        <v>5</v>
      </c>
      <c r="D36" s="28"/>
      <c r="E36" s="17"/>
      <c r="F36" s="3"/>
      <c r="G36" s="5"/>
      <c r="H36" s="17"/>
      <c r="I36" s="3"/>
      <c r="J36" s="5"/>
      <c r="K36" s="17"/>
      <c r="L36" s="3"/>
      <c r="M36" s="5"/>
      <c r="N36" s="17"/>
      <c r="O36" s="3"/>
      <c r="P36" s="5"/>
      <c r="Q36" s="17"/>
      <c r="R36" s="3"/>
      <c r="S36" s="5"/>
      <c r="T36" s="17"/>
      <c r="U36" s="3"/>
      <c r="V36" s="5"/>
      <c r="W36" s="17"/>
      <c r="X36" s="3"/>
      <c r="Y36" s="5"/>
      <c r="Z36" s="17"/>
      <c r="AA36" s="3"/>
      <c r="AB36" s="5"/>
      <c r="AC36" s="17"/>
      <c r="AD36" s="3"/>
      <c r="AE36" s="5"/>
      <c r="AF36" s="17"/>
      <c r="AG36" s="3"/>
      <c r="AH36" s="5"/>
    </row>
    <row r="37" spans="1:34" ht="30" customHeight="1" x14ac:dyDescent="0.3">
      <c r="B37" s="31"/>
      <c r="C37" s="4" t="s">
        <v>6</v>
      </c>
      <c r="D37" s="28" t="s">
        <v>168</v>
      </c>
      <c r="E37" s="17" t="s">
        <v>27</v>
      </c>
      <c r="F37" s="3" t="s">
        <v>20</v>
      </c>
      <c r="G37" s="5">
        <v>1</v>
      </c>
      <c r="H37" s="6" t="s">
        <v>29</v>
      </c>
      <c r="I37" s="3" t="s">
        <v>72</v>
      </c>
      <c r="J37" s="3">
        <v>7.5</v>
      </c>
      <c r="K37" s="6" t="s">
        <v>32</v>
      </c>
      <c r="L37" s="3" t="s">
        <v>77</v>
      </c>
      <c r="M37" s="5">
        <v>7.5</v>
      </c>
      <c r="N37" s="6" t="s">
        <v>27</v>
      </c>
      <c r="O37" s="3" t="s">
        <v>18</v>
      </c>
      <c r="P37" s="5">
        <v>0.75</v>
      </c>
      <c r="Q37" s="6" t="s">
        <v>27</v>
      </c>
      <c r="R37" s="3" t="s">
        <v>86</v>
      </c>
      <c r="S37" s="5">
        <v>0.25</v>
      </c>
      <c r="T37" s="17" t="s">
        <v>35</v>
      </c>
      <c r="U37" s="3" t="s">
        <v>167</v>
      </c>
      <c r="V37" s="1">
        <v>0.5</v>
      </c>
      <c r="W37" s="6" t="s">
        <v>27</v>
      </c>
      <c r="X37" s="3" t="s">
        <v>86</v>
      </c>
      <c r="Y37" s="3">
        <v>0.2</v>
      </c>
      <c r="Z37" s="6"/>
      <c r="AB37" s="3"/>
      <c r="AC37" s="6"/>
      <c r="AD37" s="3"/>
      <c r="AE37" s="3"/>
      <c r="AF37" s="6"/>
      <c r="AG37" s="3"/>
      <c r="AH37" s="3"/>
    </row>
    <row r="39" spans="1:34" ht="25.5" customHeight="1" x14ac:dyDescent="0.3">
      <c r="B39" s="33"/>
      <c r="C39" s="33"/>
    </row>
    <row r="41" spans="1:34" ht="14.4" x14ac:dyDescent="0.3">
      <c r="C41"/>
    </row>
  </sheetData>
  <autoFilter ref="B2:D2" xr:uid="{754DC638-4BD6-40C6-95D5-BF52FDAA963C}"/>
  <mergeCells count="19">
    <mergeCell ref="B3:B7"/>
    <mergeCell ref="B33:B37"/>
    <mergeCell ref="B39:C39"/>
    <mergeCell ref="B8:B12"/>
    <mergeCell ref="B13:B17"/>
    <mergeCell ref="B18:B22"/>
    <mergeCell ref="B23:B27"/>
    <mergeCell ref="B28:B32"/>
    <mergeCell ref="W1:Y1"/>
    <mergeCell ref="Z1:AB1"/>
    <mergeCell ref="AC1:AE1"/>
    <mergeCell ref="AF1:AH1"/>
    <mergeCell ref="B1:D1"/>
    <mergeCell ref="K1:M1"/>
    <mergeCell ref="N1:P1"/>
    <mergeCell ref="Q1:S1"/>
    <mergeCell ref="T1:V1"/>
    <mergeCell ref="E1:G1"/>
    <mergeCell ref="H1:J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odajProdukt">
                <anchor moveWithCells="1" sizeWithCells="1">
                  <from>
                    <xdr:col>0</xdr:col>
                    <xdr:colOff>0</xdr:colOff>
                    <xdr:row>2</xdr:row>
                    <xdr:rowOff>22860</xdr:rowOff>
                  </from>
                  <to>
                    <xdr:col>1</xdr:col>
                    <xdr:colOff>30480</xdr:colOff>
                    <xdr:row>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4" name="Button 10">
              <controlPr defaultSize="0" print="0" autoFill="0" autoPict="0" macro="[0]!ModyfikujProdukt">
                <anchor moveWithCells="1" sizeWithCells="1">
                  <from>
                    <xdr:col>0</xdr:col>
                    <xdr:colOff>0</xdr:colOff>
                    <xdr:row>3</xdr:row>
                    <xdr:rowOff>30480</xdr:rowOff>
                  </from>
                  <to>
                    <xdr:col>1</xdr:col>
                    <xdr:colOff>22860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5" name="Button 23">
              <controlPr defaultSize="0" print="0" autoFill="0" autoPict="0" macro="[0]!DodajPrzepis">
                <anchor moveWithCells="1" sizeWithCells="1">
                  <from>
                    <xdr:col>0</xdr:col>
                    <xdr:colOff>0</xdr:colOff>
                    <xdr:row>4</xdr:row>
                    <xdr:rowOff>30480</xdr:rowOff>
                  </from>
                  <to>
                    <xdr:col>1</xdr:col>
                    <xdr:colOff>22860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6" name="Button 24">
              <controlPr defaultSize="0" print="0" autoFill="0" autoPict="0" macro="[0]!PobierzPrzepis">
                <anchor moveWithCells="1" sizeWithCells="1">
                  <from>
                    <xdr:col>0</xdr:col>
                    <xdr:colOff>0</xdr:colOff>
                    <xdr:row>5</xdr:row>
                    <xdr:rowOff>30480</xdr:rowOff>
                  </from>
                  <to>
                    <xdr:col>1</xdr:col>
                    <xdr:colOff>22860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2115927-BF8D-481E-8A4A-1A081851461A}">
          <x14:formula1>
            <xm:f>ListaProduktów!$A$1:$I$1</xm:f>
          </x14:formula1>
          <xm:sqref>E17:E20 Q17:Q20 T17:T20 N17:N20 K17:K20 T3:T5 AF6:AF9 AF3:AF4 E22:E26 H3:H5 T7:T15 K3:K15 N3:N15 Q3:Q15 T22:T37 E3:E15 E28:E37 K22:K36 H22:H36 N22:N36 Q22:Q36 AF23:AF37 H7:H15 W3:W37 Z3:Z37 AC3:AC37 AF11:AF21 H17:H20</xm:sqref>
        </x14:dataValidation>
        <x14:dataValidation type="list" allowBlank="1" showInputMessage="1" showErrorMessage="1" xr:uid="{11B4DC5A-EECD-466F-B5C4-772090FD66E2}">
          <x14:formula1>
            <xm:f>_xlfn.XLOOKUP(E3, ListaProduktów!$A$1:$I$1, ListaProduktów!$A$2:$I$51)</xm:f>
          </x14:formula1>
          <xm:sqref>F22:F26 F17:F20 R17:R20 L17:L20 O17:O20 U17:U20 F3:F5 U3:U5 I3:I5 AG6:AG9 AG3:AG4 I22:I26 I31 U7:U15 F7:F15 O3:O15 L3:L15 R3:R15 O30:O37 F28:F37 U22:U37 I36 L30:L36 R22:R36 AG23:AG37 I7:I15 I28:I29 I33:I34 L22:L28 O22:O28 AD3:AD37 X3:X37 AG11:AG21 AA3:AA36 I17:I20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DA536-6BA7-4CCD-A690-EDC793FAE3C7}">
  <sheetPr codeName="Arkusz4"/>
  <dimension ref="A1:K23"/>
  <sheetViews>
    <sheetView workbookViewId="0">
      <selection activeCell="F11" sqref="F11"/>
    </sheetView>
  </sheetViews>
  <sheetFormatPr defaultRowHeight="14.4" x14ac:dyDescent="0.3"/>
  <cols>
    <col min="1" max="1" width="21" bestFit="1" customWidth="1"/>
    <col min="2" max="2" width="16.5546875" bestFit="1" customWidth="1"/>
    <col min="3" max="3" width="25.88671875" bestFit="1" customWidth="1"/>
    <col min="4" max="4" width="27" bestFit="1" customWidth="1"/>
    <col min="5" max="5" width="34.33203125" bestFit="1" customWidth="1"/>
    <col min="6" max="6" width="14.6640625" bestFit="1" customWidth="1"/>
    <col min="7" max="7" width="26" bestFit="1" customWidth="1"/>
    <col min="8" max="8" width="22.5546875" bestFit="1" customWidth="1"/>
    <col min="9" max="9" width="20.44140625" bestFit="1" customWidth="1"/>
    <col min="10" max="10" width="18.6640625" bestFit="1" customWidth="1"/>
    <col min="11" max="11" width="9.109375" style="12"/>
  </cols>
  <sheetData>
    <row r="1" spans="1:10" x14ac:dyDescent="0.3">
      <c r="A1" s="10" t="s">
        <v>27</v>
      </c>
      <c r="B1" s="10" t="s">
        <v>28</v>
      </c>
      <c r="C1" s="10" t="s">
        <v>29</v>
      </c>
      <c r="D1" s="10" t="s">
        <v>35</v>
      </c>
      <c r="E1" s="10" t="s">
        <v>31</v>
      </c>
      <c r="F1" s="10" t="s">
        <v>32</v>
      </c>
      <c r="G1" s="10" t="s">
        <v>33</v>
      </c>
      <c r="H1" s="10" t="s">
        <v>30</v>
      </c>
      <c r="I1" s="11" t="s">
        <v>74</v>
      </c>
      <c r="J1" s="11" t="s">
        <v>106</v>
      </c>
    </row>
    <row r="2" spans="1:10" x14ac:dyDescent="0.3">
      <c r="A2" s="9" t="s">
        <v>17</v>
      </c>
      <c r="B2" s="9" t="s">
        <v>22</v>
      </c>
      <c r="C2" s="9" t="s">
        <v>94</v>
      </c>
      <c r="D2" s="9" t="s">
        <v>15</v>
      </c>
      <c r="E2" s="9" t="s">
        <v>73</v>
      </c>
      <c r="F2" s="9" t="s">
        <v>77</v>
      </c>
      <c r="G2" t="s">
        <v>90</v>
      </c>
      <c r="H2" s="9" t="s">
        <v>9</v>
      </c>
      <c r="I2" t="s">
        <v>82</v>
      </c>
      <c r="J2" s="13" t="s">
        <v>107</v>
      </c>
    </row>
    <row r="3" spans="1:10" x14ac:dyDescent="0.3">
      <c r="A3" s="9" t="s">
        <v>18</v>
      </c>
      <c r="B3" s="9" t="s">
        <v>23</v>
      </c>
      <c r="C3" s="9" t="s">
        <v>70</v>
      </c>
      <c r="D3" s="9" t="s">
        <v>37</v>
      </c>
      <c r="E3" t="s">
        <v>99</v>
      </c>
      <c r="F3" s="9" t="s">
        <v>14</v>
      </c>
      <c r="G3" s="9" t="s">
        <v>34</v>
      </c>
      <c r="H3" s="13" t="s">
        <v>83</v>
      </c>
    </row>
    <row r="4" spans="1:10" x14ac:dyDescent="0.3">
      <c r="A4" s="9" t="s">
        <v>19</v>
      </c>
      <c r="B4" s="9" t="s">
        <v>24</v>
      </c>
      <c r="C4" s="9" t="s">
        <v>72</v>
      </c>
      <c r="D4" s="9" t="s">
        <v>68</v>
      </c>
      <c r="E4" t="s">
        <v>101</v>
      </c>
      <c r="F4" t="s">
        <v>88</v>
      </c>
      <c r="G4" s="9" t="s">
        <v>21</v>
      </c>
      <c r="H4" t="s">
        <v>84</v>
      </c>
    </row>
    <row r="5" spans="1:10" x14ac:dyDescent="0.3">
      <c r="A5" s="9" t="s">
        <v>20</v>
      </c>
      <c r="B5" s="9" t="s">
        <v>69</v>
      </c>
      <c r="C5" s="9" t="s">
        <v>10</v>
      </c>
      <c r="D5" s="9" t="s">
        <v>67</v>
      </c>
      <c r="E5" t="s">
        <v>105</v>
      </c>
      <c r="F5" t="s">
        <v>93</v>
      </c>
      <c r="G5" s="9" t="s">
        <v>11</v>
      </c>
      <c r="H5" t="s">
        <v>89</v>
      </c>
    </row>
    <row r="6" spans="1:10" x14ac:dyDescent="0.3">
      <c r="A6" s="9" t="s">
        <v>13</v>
      </c>
      <c r="B6" s="9" t="s">
        <v>71</v>
      </c>
      <c r="C6" t="s">
        <v>97</v>
      </c>
      <c r="D6" s="9" t="s">
        <v>16</v>
      </c>
      <c r="E6" s="13" t="s">
        <v>133</v>
      </c>
      <c r="F6" s="13" t="s">
        <v>100</v>
      </c>
      <c r="G6" t="s">
        <v>155</v>
      </c>
      <c r="H6" t="s">
        <v>95</v>
      </c>
    </row>
    <row r="7" spans="1:10" x14ac:dyDescent="0.3">
      <c r="A7" s="9" t="s">
        <v>76</v>
      </c>
      <c r="B7" s="9" t="s">
        <v>20</v>
      </c>
      <c r="C7" t="s">
        <v>102</v>
      </c>
      <c r="D7" s="9" t="s">
        <v>75</v>
      </c>
      <c r="E7" s="13" t="s">
        <v>159</v>
      </c>
      <c r="F7" s="13" t="s">
        <v>114</v>
      </c>
      <c r="G7" t="s">
        <v>104</v>
      </c>
      <c r="H7" t="s">
        <v>148</v>
      </c>
    </row>
    <row r="8" spans="1:10" x14ac:dyDescent="0.3">
      <c r="A8" t="s">
        <v>12</v>
      </c>
      <c r="B8" s="9" t="s">
        <v>113</v>
      </c>
      <c r="C8" s="13" t="s">
        <v>145</v>
      </c>
      <c r="D8" s="9" t="s">
        <v>36</v>
      </c>
      <c r="E8" s="13" t="s">
        <v>172</v>
      </c>
      <c r="F8" s="18" t="s">
        <v>186</v>
      </c>
      <c r="G8" s="35" t="s">
        <v>179</v>
      </c>
      <c r="H8" t="s">
        <v>151</v>
      </c>
    </row>
    <row r="9" spans="1:10" x14ac:dyDescent="0.3">
      <c r="A9" t="s">
        <v>86</v>
      </c>
      <c r="B9" t="s">
        <v>141</v>
      </c>
      <c r="C9" s="13" t="s">
        <v>147</v>
      </c>
      <c r="D9" t="s">
        <v>91</v>
      </c>
      <c r="E9" s="13" t="s">
        <v>180</v>
      </c>
      <c r="G9" s="35" t="s">
        <v>185</v>
      </c>
      <c r="H9" t="s">
        <v>165</v>
      </c>
    </row>
    <row r="10" spans="1:10" x14ac:dyDescent="0.3">
      <c r="A10" t="s">
        <v>87</v>
      </c>
      <c r="C10" t="s">
        <v>153</v>
      </c>
      <c r="D10" t="s">
        <v>142</v>
      </c>
      <c r="E10" s="35" t="s">
        <v>181</v>
      </c>
    </row>
    <row r="11" spans="1:10" x14ac:dyDescent="0.3">
      <c r="A11" t="s">
        <v>92</v>
      </c>
      <c r="D11" s="9" t="s">
        <v>146</v>
      </c>
      <c r="E11" s="35" t="s">
        <v>182</v>
      </c>
    </row>
    <row r="12" spans="1:10" ht="28.8" x14ac:dyDescent="0.3">
      <c r="A12" t="s">
        <v>98</v>
      </c>
      <c r="D12" s="29" t="s">
        <v>169</v>
      </c>
      <c r="E12" s="35" t="s">
        <v>183</v>
      </c>
    </row>
    <row r="13" spans="1:10" x14ac:dyDescent="0.3">
      <c r="A13" t="s">
        <v>103</v>
      </c>
      <c r="D13" t="s">
        <v>167</v>
      </c>
      <c r="E13" s="35" t="s">
        <v>184</v>
      </c>
    </row>
    <row r="14" spans="1:10" x14ac:dyDescent="0.3">
      <c r="A14" t="s">
        <v>108</v>
      </c>
      <c r="D14" s="9" t="s">
        <v>178</v>
      </c>
    </row>
    <row r="15" spans="1:10" x14ac:dyDescent="0.3">
      <c r="A15" t="s">
        <v>110</v>
      </c>
    </row>
    <row r="16" spans="1:10" x14ac:dyDescent="0.3">
      <c r="A16" t="s">
        <v>112</v>
      </c>
    </row>
    <row r="17" spans="1:1" x14ac:dyDescent="0.3">
      <c r="A17" t="s">
        <v>115</v>
      </c>
    </row>
    <row r="18" spans="1:1" x14ac:dyDescent="0.3">
      <c r="A18" t="s">
        <v>143</v>
      </c>
    </row>
    <row r="19" spans="1:1" x14ac:dyDescent="0.3">
      <c r="A19" t="s">
        <v>144</v>
      </c>
    </row>
    <row r="20" spans="1:1" x14ac:dyDescent="0.3">
      <c r="A20" t="s">
        <v>152</v>
      </c>
    </row>
    <row r="21" spans="1:1" x14ac:dyDescent="0.3">
      <c r="A21" t="s">
        <v>154</v>
      </c>
    </row>
    <row r="22" spans="1:1" x14ac:dyDescent="0.3">
      <c r="A22" t="s">
        <v>161</v>
      </c>
    </row>
    <row r="23" spans="1:1" x14ac:dyDescent="0.3">
      <c r="A23" t="s">
        <v>162</v>
      </c>
    </row>
  </sheetData>
  <dataValidations disablePrompts="1" count="2">
    <dataValidation type="list" allowBlank="1" showInputMessage="1" showErrorMessage="1" sqref="K4" xr:uid="{FA91FAB2-664D-45CA-944C-BF46EC7A8E48}">
      <formula1>$A$1:$I$1</formula1>
    </dataValidation>
    <dataValidation type="list" allowBlank="1" showInputMessage="1" showErrorMessage="1" sqref="M6" xr:uid="{EA84684E-4B33-4CD4-9E6D-F7D083BAE663}">
      <formula1>$I$1:$I$5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1CD6C-3FE9-4F62-B558-3AE010AFEF83}">
  <sheetPr codeName="Arkusz5"/>
  <dimension ref="A1:AE23"/>
  <sheetViews>
    <sheetView topLeftCell="K4" workbookViewId="0">
      <selection activeCell="S7" sqref="S7"/>
    </sheetView>
  </sheetViews>
  <sheetFormatPr defaultColWidth="9.109375" defaultRowHeight="13.8" x14ac:dyDescent="0.3"/>
  <cols>
    <col min="1" max="1" width="20.6640625" style="18" customWidth="1"/>
    <col min="2" max="3" width="15.6640625" style="18" customWidth="1"/>
    <col min="4" max="4" width="7.6640625" style="18" customWidth="1"/>
    <col min="5" max="6" width="15.6640625" style="18" customWidth="1"/>
    <col min="7" max="7" width="7.6640625" style="18" customWidth="1"/>
    <col min="8" max="9" width="15.6640625" style="18" customWidth="1"/>
    <col min="10" max="10" width="7.6640625" style="18" customWidth="1"/>
    <col min="11" max="12" width="15.6640625" style="18" customWidth="1"/>
    <col min="13" max="13" width="7.6640625" style="18" customWidth="1"/>
    <col min="14" max="15" width="15.6640625" style="18" customWidth="1"/>
    <col min="16" max="16" width="7.6640625" style="18" customWidth="1"/>
    <col min="17" max="18" width="15.6640625" style="18" customWidth="1"/>
    <col min="19" max="19" width="7.6640625" style="18" customWidth="1"/>
    <col min="20" max="21" width="15.6640625" style="18" customWidth="1"/>
    <col min="22" max="22" width="7.6640625" style="18" customWidth="1"/>
    <col min="23" max="24" width="15.6640625" style="18" customWidth="1"/>
    <col min="25" max="25" width="7.6640625" style="18" customWidth="1"/>
    <col min="26" max="27" width="15.6640625" style="18" customWidth="1"/>
    <col min="28" max="28" width="7.6640625" style="18" customWidth="1"/>
    <col min="29" max="30" width="15.6640625" style="18" customWidth="1"/>
    <col min="31" max="31" width="7.6640625" style="18" customWidth="1"/>
    <col min="32" max="16384" width="9.109375" style="18"/>
  </cols>
  <sheetData>
    <row r="1" spans="1:31" x14ac:dyDescent="0.3">
      <c r="B1" s="34" t="s">
        <v>25</v>
      </c>
      <c r="C1" s="34"/>
      <c r="D1" s="34"/>
      <c r="E1" s="34" t="s">
        <v>40</v>
      </c>
      <c r="F1" s="34"/>
      <c r="G1" s="34"/>
      <c r="H1" s="34" t="s">
        <v>42</v>
      </c>
      <c r="I1" s="34"/>
      <c r="J1" s="34"/>
      <c r="K1" s="34" t="s">
        <v>43</v>
      </c>
      <c r="L1" s="34"/>
      <c r="M1" s="34"/>
      <c r="N1" s="34" t="s">
        <v>44</v>
      </c>
      <c r="O1" s="34"/>
      <c r="P1" s="34"/>
      <c r="Q1" s="34" t="s">
        <v>45</v>
      </c>
      <c r="R1" s="34"/>
      <c r="S1" s="34"/>
      <c r="T1" s="34" t="s">
        <v>128</v>
      </c>
      <c r="U1" s="34"/>
      <c r="V1" s="34"/>
      <c r="W1" s="34" t="s">
        <v>129</v>
      </c>
      <c r="X1" s="34"/>
      <c r="Y1" s="34"/>
      <c r="Z1" s="34" t="s">
        <v>130</v>
      </c>
      <c r="AA1" s="34"/>
      <c r="AB1" s="34"/>
      <c r="AC1" s="34" t="s">
        <v>131</v>
      </c>
      <c r="AD1" s="34"/>
      <c r="AE1" s="34"/>
    </row>
    <row r="2" spans="1:31" x14ac:dyDescent="0.3">
      <c r="A2" s="19" t="s">
        <v>8</v>
      </c>
      <c r="B2" s="19" t="s">
        <v>38</v>
      </c>
      <c r="C2" s="19" t="s">
        <v>39</v>
      </c>
      <c r="D2" s="19" t="s">
        <v>26</v>
      </c>
      <c r="E2" s="19" t="s">
        <v>38</v>
      </c>
      <c r="F2" s="19" t="s">
        <v>39</v>
      </c>
      <c r="G2" s="19" t="s">
        <v>26</v>
      </c>
      <c r="H2" s="19" t="s">
        <v>38</v>
      </c>
      <c r="I2" s="19" t="s">
        <v>39</v>
      </c>
      <c r="J2" s="19" t="s">
        <v>26</v>
      </c>
      <c r="K2" s="19" t="s">
        <v>38</v>
      </c>
      <c r="L2" s="19" t="s">
        <v>39</v>
      </c>
      <c r="M2" s="19" t="s">
        <v>26</v>
      </c>
      <c r="N2" s="19" t="s">
        <v>38</v>
      </c>
      <c r="O2" s="19" t="s">
        <v>39</v>
      </c>
      <c r="P2" s="19" t="s">
        <v>26</v>
      </c>
      <c r="Q2" s="19" t="s">
        <v>38</v>
      </c>
      <c r="R2" s="19" t="s">
        <v>39</v>
      </c>
      <c r="S2" s="19" t="s">
        <v>26</v>
      </c>
      <c r="T2" s="19" t="s">
        <v>38</v>
      </c>
      <c r="U2" s="19" t="s">
        <v>39</v>
      </c>
      <c r="V2" s="19" t="s">
        <v>26</v>
      </c>
      <c r="W2" s="19" t="s">
        <v>38</v>
      </c>
      <c r="X2" s="19" t="s">
        <v>39</v>
      </c>
      <c r="Y2" s="19" t="s">
        <v>26</v>
      </c>
      <c r="Z2" s="19" t="s">
        <v>38</v>
      </c>
      <c r="AA2" s="19" t="s">
        <v>39</v>
      </c>
      <c r="AB2" s="19" t="s">
        <v>26</v>
      </c>
      <c r="AC2" s="19" t="s">
        <v>38</v>
      </c>
      <c r="AD2" s="19" t="s">
        <v>39</v>
      </c>
      <c r="AE2" s="19" t="s">
        <v>26</v>
      </c>
    </row>
    <row r="3" spans="1:31" x14ac:dyDescent="0.3">
      <c r="A3" s="4" t="s">
        <v>138</v>
      </c>
      <c r="B3" s="20" t="s">
        <v>30</v>
      </c>
      <c r="C3" s="21" t="s">
        <v>9</v>
      </c>
      <c r="D3" s="22">
        <v>4</v>
      </c>
      <c r="E3" s="18" t="s">
        <v>29</v>
      </c>
      <c r="F3" s="18" t="s">
        <v>70</v>
      </c>
      <c r="G3" s="18">
        <v>15</v>
      </c>
      <c r="H3" s="18" t="s">
        <v>27</v>
      </c>
      <c r="I3" s="18" t="s">
        <v>76</v>
      </c>
      <c r="J3" s="18">
        <v>0.5</v>
      </c>
      <c r="K3" s="18" t="s">
        <v>32</v>
      </c>
      <c r="L3" s="18" t="s">
        <v>88</v>
      </c>
      <c r="M3" s="18">
        <v>15</v>
      </c>
    </row>
    <row r="4" spans="1:31" ht="27.6" x14ac:dyDescent="0.3">
      <c r="A4" s="18" t="s">
        <v>132</v>
      </c>
      <c r="B4" s="18" t="s">
        <v>35</v>
      </c>
      <c r="C4" s="18" t="s">
        <v>37</v>
      </c>
      <c r="D4" s="18">
        <v>1.5</v>
      </c>
      <c r="E4" s="18" t="s">
        <v>29</v>
      </c>
      <c r="F4" s="18" t="s">
        <v>85</v>
      </c>
      <c r="G4" s="18">
        <v>0.5</v>
      </c>
      <c r="H4" s="18" t="s">
        <v>74</v>
      </c>
      <c r="I4" s="18" t="s">
        <v>82</v>
      </c>
      <c r="J4" s="18">
        <v>0.8</v>
      </c>
      <c r="K4" s="18" t="s">
        <v>27</v>
      </c>
      <c r="L4" s="18" t="s">
        <v>12</v>
      </c>
      <c r="M4" s="18">
        <v>0.3</v>
      </c>
    </row>
    <row r="5" spans="1:31" ht="26.4" x14ac:dyDescent="0.3">
      <c r="A5" s="4" t="s">
        <v>137</v>
      </c>
      <c r="B5" s="20" t="s">
        <v>33</v>
      </c>
      <c r="C5" s="16" t="s">
        <v>155</v>
      </c>
      <c r="D5" s="23">
        <v>0.5</v>
      </c>
      <c r="E5" s="20" t="s">
        <v>30</v>
      </c>
      <c r="F5" s="16" t="s">
        <v>9</v>
      </c>
      <c r="G5" s="23">
        <v>2</v>
      </c>
      <c r="H5" s="20" t="s">
        <v>33</v>
      </c>
      <c r="I5" s="16" t="s">
        <v>34</v>
      </c>
      <c r="J5" s="24">
        <v>0.5</v>
      </c>
      <c r="K5" s="20" t="s">
        <v>35</v>
      </c>
      <c r="L5" s="16" t="s">
        <v>68</v>
      </c>
      <c r="M5" s="23">
        <v>0.4</v>
      </c>
      <c r="N5" s="20" t="s">
        <v>33</v>
      </c>
      <c r="O5" s="16" t="s">
        <v>21</v>
      </c>
      <c r="P5" s="23">
        <v>2</v>
      </c>
      <c r="Q5" s="20" t="s">
        <v>28</v>
      </c>
      <c r="R5" s="16" t="s">
        <v>24</v>
      </c>
      <c r="S5" s="25">
        <v>1</v>
      </c>
      <c r="T5" s="20" t="s">
        <v>28</v>
      </c>
      <c r="U5" s="16" t="s">
        <v>141</v>
      </c>
      <c r="V5" s="25">
        <v>0.5</v>
      </c>
      <c r="W5" s="20" t="s">
        <v>28</v>
      </c>
      <c r="X5" s="16" t="s">
        <v>23</v>
      </c>
      <c r="Y5" s="25">
        <v>0.5</v>
      </c>
    </row>
    <row r="6" spans="1:31" ht="27.6" x14ac:dyDescent="0.3">
      <c r="A6" s="18" t="s">
        <v>150</v>
      </c>
      <c r="B6" s="18" t="s">
        <v>35</v>
      </c>
      <c r="C6" s="18" t="s">
        <v>75</v>
      </c>
      <c r="D6" s="18">
        <v>2</v>
      </c>
      <c r="E6" s="18" t="s">
        <v>27</v>
      </c>
      <c r="F6" s="18" t="s">
        <v>17</v>
      </c>
      <c r="G6" s="18">
        <v>0.7</v>
      </c>
      <c r="H6" s="18" t="s">
        <v>32</v>
      </c>
      <c r="I6" s="18" t="s">
        <v>14</v>
      </c>
      <c r="J6" s="18">
        <v>1</v>
      </c>
      <c r="K6" s="18" t="s">
        <v>31</v>
      </c>
      <c r="L6" s="18" t="s">
        <v>73</v>
      </c>
      <c r="M6" s="18">
        <v>0.2</v>
      </c>
      <c r="N6" s="18" t="s">
        <v>33</v>
      </c>
      <c r="O6" s="18" t="s">
        <v>90</v>
      </c>
      <c r="P6" s="18">
        <v>0.5</v>
      </c>
      <c r="Q6" s="18" t="s">
        <v>29</v>
      </c>
      <c r="R6" s="18" t="s">
        <v>72</v>
      </c>
      <c r="S6" s="18">
        <v>10</v>
      </c>
      <c r="T6" s="18" t="s">
        <v>32</v>
      </c>
      <c r="U6" s="18" t="s">
        <v>93</v>
      </c>
      <c r="V6" s="18">
        <v>0.5</v>
      </c>
      <c r="W6" s="18" t="s">
        <v>27</v>
      </c>
      <c r="X6" s="18" t="s">
        <v>13</v>
      </c>
      <c r="Y6" s="18">
        <v>1</v>
      </c>
    </row>
    <row r="7" spans="1:31" ht="27.6" x14ac:dyDescent="0.3">
      <c r="A7" s="18" t="s">
        <v>111</v>
      </c>
      <c r="B7" s="18" t="s">
        <v>35</v>
      </c>
      <c r="C7" s="18" t="s">
        <v>16</v>
      </c>
      <c r="D7" s="18">
        <v>3</v>
      </c>
      <c r="E7" s="18" t="s">
        <v>27</v>
      </c>
      <c r="F7" s="18" t="s">
        <v>112</v>
      </c>
      <c r="G7" s="18">
        <v>0.5</v>
      </c>
      <c r="H7" s="18" t="s">
        <v>32</v>
      </c>
      <c r="I7" s="18" t="s">
        <v>14</v>
      </c>
      <c r="J7" s="18">
        <v>1</v>
      </c>
      <c r="K7" s="18" t="s">
        <v>32</v>
      </c>
      <c r="L7" s="18" t="s">
        <v>114</v>
      </c>
      <c r="M7" s="18">
        <v>0.5</v>
      </c>
      <c r="N7" s="18" t="s">
        <v>28</v>
      </c>
      <c r="O7" s="18" t="s">
        <v>113</v>
      </c>
      <c r="P7" s="18">
        <v>0.5</v>
      </c>
      <c r="Q7" s="18" t="s">
        <v>27</v>
      </c>
      <c r="R7" s="18" t="s">
        <v>115</v>
      </c>
      <c r="S7" s="18">
        <v>0.2</v>
      </c>
    </row>
    <row r="8" spans="1:31" ht="27.6" x14ac:dyDescent="0.3">
      <c r="A8" s="18" t="s">
        <v>134</v>
      </c>
      <c r="B8" s="18" t="s">
        <v>33</v>
      </c>
      <c r="C8" s="18" t="s">
        <v>34</v>
      </c>
      <c r="D8" s="18">
        <v>0.3</v>
      </c>
      <c r="E8" s="18" t="s">
        <v>28</v>
      </c>
      <c r="F8" s="18" t="s">
        <v>71</v>
      </c>
      <c r="G8" s="18">
        <v>20</v>
      </c>
      <c r="H8" s="18" t="s">
        <v>33</v>
      </c>
      <c r="I8" s="18" t="s">
        <v>21</v>
      </c>
      <c r="J8" s="18">
        <v>2</v>
      </c>
      <c r="K8" s="18" t="s">
        <v>35</v>
      </c>
      <c r="L8" s="18" t="s">
        <v>67</v>
      </c>
      <c r="M8" s="18">
        <v>0.4</v>
      </c>
      <c r="N8" s="18" t="s">
        <v>31</v>
      </c>
      <c r="O8" s="18" t="s">
        <v>133</v>
      </c>
      <c r="P8" s="18">
        <v>5</v>
      </c>
    </row>
    <row r="9" spans="1:31" ht="27.6" x14ac:dyDescent="0.3">
      <c r="A9" s="18" t="s">
        <v>135</v>
      </c>
      <c r="B9" s="18" t="s">
        <v>33</v>
      </c>
      <c r="C9" s="18" t="s">
        <v>34</v>
      </c>
      <c r="D9" s="18">
        <v>0.3</v>
      </c>
      <c r="E9" s="18" t="s">
        <v>28</v>
      </c>
      <c r="F9" s="18" t="s">
        <v>24</v>
      </c>
      <c r="G9" s="18">
        <v>1</v>
      </c>
      <c r="H9" s="18" t="s">
        <v>33</v>
      </c>
      <c r="I9" s="18" t="s">
        <v>21</v>
      </c>
      <c r="J9" s="18">
        <v>2</v>
      </c>
      <c r="K9" s="18" t="s">
        <v>35</v>
      </c>
      <c r="L9" s="18" t="s">
        <v>67</v>
      </c>
      <c r="M9" s="18">
        <v>0.4</v>
      </c>
      <c r="N9" s="18" t="s">
        <v>28</v>
      </c>
      <c r="O9" s="18" t="s">
        <v>23</v>
      </c>
      <c r="P9" s="18">
        <v>1</v>
      </c>
    </row>
    <row r="10" spans="1:31" ht="41.4" x14ac:dyDescent="0.3">
      <c r="A10" s="18" t="s">
        <v>96</v>
      </c>
      <c r="B10" s="18" t="s">
        <v>29</v>
      </c>
      <c r="C10" s="18" t="s">
        <v>97</v>
      </c>
      <c r="D10" s="18">
        <v>0.6</v>
      </c>
      <c r="E10" s="18" t="s">
        <v>27</v>
      </c>
      <c r="F10" s="18" t="s">
        <v>17</v>
      </c>
      <c r="G10" s="18">
        <v>0.7</v>
      </c>
      <c r="H10" s="18" t="s">
        <v>31</v>
      </c>
      <c r="I10" s="18" t="s">
        <v>99</v>
      </c>
      <c r="J10" s="18">
        <v>0.3</v>
      </c>
      <c r="K10" s="18" t="s">
        <v>33</v>
      </c>
      <c r="L10" s="18" t="s">
        <v>104</v>
      </c>
      <c r="M10" s="18">
        <v>0.5</v>
      </c>
      <c r="N10" s="18" t="s">
        <v>35</v>
      </c>
      <c r="O10" s="18" t="s">
        <v>36</v>
      </c>
      <c r="P10" s="18">
        <v>0.5</v>
      </c>
      <c r="Q10" s="18" t="s">
        <v>31</v>
      </c>
      <c r="R10" s="18" t="s">
        <v>105</v>
      </c>
      <c r="S10" s="18">
        <v>1</v>
      </c>
      <c r="T10" s="18" t="s">
        <v>27</v>
      </c>
      <c r="U10" s="18" t="s">
        <v>110</v>
      </c>
      <c r="V10" s="18">
        <v>1</v>
      </c>
      <c r="W10" s="18" t="s">
        <v>27</v>
      </c>
      <c r="X10" s="18" t="s">
        <v>103</v>
      </c>
      <c r="Y10" s="18">
        <v>0.5</v>
      </c>
      <c r="Z10" s="18" t="s">
        <v>27</v>
      </c>
      <c r="AA10" s="18" t="s">
        <v>86</v>
      </c>
      <c r="AB10" s="18">
        <v>0.5</v>
      </c>
    </row>
    <row r="11" spans="1:31" ht="27.6" x14ac:dyDescent="0.3">
      <c r="A11" s="18" t="s">
        <v>136</v>
      </c>
      <c r="B11" s="18" t="s">
        <v>35</v>
      </c>
      <c r="C11" s="18" t="s">
        <v>37</v>
      </c>
      <c r="D11" s="18">
        <v>1.5</v>
      </c>
      <c r="E11" s="18" t="s">
        <v>33</v>
      </c>
      <c r="F11" s="18" t="s">
        <v>11</v>
      </c>
      <c r="G11" s="18">
        <v>1.5</v>
      </c>
      <c r="H11" s="18" t="s">
        <v>74</v>
      </c>
      <c r="I11" s="18" t="s">
        <v>82</v>
      </c>
      <c r="J11" s="18">
        <v>0.7</v>
      </c>
      <c r="K11" s="18" t="s">
        <v>27</v>
      </c>
      <c r="L11" s="18" t="s">
        <v>12</v>
      </c>
      <c r="M11" s="18">
        <v>0.3</v>
      </c>
    </row>
    <row r="12" spans="1:31" ht="27.6" x14ac:dyDescent="0.3">
      <c r="A12" s="18" t="s">
        <v>109</v>
      </c>
      <c r="B12" s="18" t="s">
        <v>30</v>
      </c>
      <c r="C12" s="18" t="s">
        <v>9</v>
      </c>
      <c r="D12" s="18">
        <v>3</v>
      </c>
      <c r="E12" s="18" t="s">
        <v>27</v>
      </c>
      <c r="F12" s="18" t="s">
        <v>108</v>
      </c>
      <c r="G12" s="18">
        <v>1</v>
      </c>
      <c r="H12" s="18" t="s">
        <v>35</v>
      </c>
      <c r="I12" s="18" t="s">
        <v>15</v>
      </c>
      <c r="J12" s="18">
        <v>2</v>
      </c>
      <c r="K12" s="18" t="s">
        <v>32</v>
      </c>
      <c r="L12" s="18" t="s">
        <v>100</v>
      </c>
      <c r="M12" s="18">
        <v>1</v>
      </c>
      <c r="N12" s="18" t="s">
        <v>27</v>
      </c>
      <c r="O12" s="18" t="s">
        <v>86</v>
      </c>
      <c r="P12" s="18">
        <v>0.2</v>
      </c>
      <c r="Q12" s="18" t="s">
        <v>30</v>
      </c>
      <c r="R12" s="18" t="s">
        <v>95</v>
      </c>
      <c r="S12" s="18">
        <v>1</v>
      </c>
      <c r="T12" s="18" t="s">
        <v>31</v>
      </c>
      <c r="U12" s="18" t="s">
        <v>101</v>
      </c>
      <c r="V12" s="18">
        <v>0.5</v>
      </c>
    </row>
    <row r="13" spans="1:31" ht="27.6" x14ac:dyDescent="0.3">
      <c r="A13" s="18" t="s">
        <v>139</v>
      </c>
      <c r="B13" s="18" t="s">
        <v>33</v>
      </c>
      <c r="C13" s="18" t="s">
        <v>34</v>
      </c>
      <c r="D13" s="18">
        <v>0.3</v>
      </c>
      <c r="E13" s="18" t="s">
        <v>35</v>
      </c>
      <c r="F13" s="18" t="s">
        <v>68</v>
      </c>
      <c r="G13" s="18">
        <v>0.3</v>
      </c>
      <c r="H13" s="18" t="s">
        <v>33</v>
      </c>
      <c r="I13" s="18" t="s">
        <v>21</v>
      </c>
      <c r="J13" s="18">
        <v>2</v>
      </c>
      <c r="K13" s="18" t="s">
        <v>30</v>
      </c>
      <c r="L13" s="18" t="s">
        <v>9</v>
      </c>
      <c r="M13" s="18">
        <v>3</v>
      </c>
      <c r="N13" s="18" t="s">
        <v>28</v>
      </c>
      <c r="O13" s="18" t="s">
        <v>113</v>
      </c>
      <c r="P13" s="18">
        <v>1</v>
      </c>
    </row>
    <row r="14" spans="1:31" ht="27.6" x14ac:dyDescent="0.3">
      <c r="A14" s="18" t="s">
        <v>140</v>
      </c>
      <c r="B14" s="18" t="s">
        <v>33</v>
      </c>
      <c r="C14" s="18" t="s">
        <v>34</v>
      </c>
      <c r="D14" s="18">
        <v>0.3</v>
      </c>
      <c r="E14" s="18" t="s">
        <v>35</v>
      </c>
      <c r="F14" s="18" t="s">
        <v>68</v>
      </c>
      <c r="G14" s="18">
        <v>0.3</v>
      </c>
      <c r="H14" s="18" t="s">
        <v>33</v>
      </c>
      <c r="I14" s="18" t="s">
        <v>21</v>
      </c>
      <c r="J14" s="18">
        <v>2</v>
      </c>
      <c r="K14" s="18" t="s">
        <v>30</v>
      </c>
      <c r="L14" s="18" t="s">
        <v>9</v>
      </c>
      <c r="M14" s="18">
        <v>3</v>
      </c>
      <c r="N14" s="18" t="s">
        <v>28</v>
      </c>
      <c r="O14" s="18" t="s">
        <v>69</v>
      </c>
      <c r="P14" s="18">
        <v>1</v>
      </c>
    </row>
    <row r="15" spans="1:31" ht="27.6" x14ac:dyDescent="0.3">
      <c r="A15" s="18" t="s">
        <v>149</v>
      </c>
      <c r="B15" s="18" t="s">
        <v>35</v>
      </c>
      <c r="C15" s="18" t="s">
        <v>16</v>
      </c>
      <c r="D15" s="18">
        <v>3</v>
      </c>
      <c r="E15" s="18" t="s">
        <v>27</v>
      </c>
      <c r="F15" s="18" t="s">
        <v>17</v>
      </c>
      <c r="G15" s="18">
        <v>0.7</v>
      </c>
      <c r="H15" s="18" t="s">
        <v>32</v>
      </c>
      <c r="I15" s="18" t="s">
        <v>77</v>
      </c>
      <c r="J15" s="18">
        <v>0.2</v>
      </c>
      <c r="K15" s="18" t="s">
        <v>27</v>
      </c>
      <c r="L15" s="18" t="s">
        <v>13</v>
      </c>
      <c r="M15" s="18">
        <v>3</v>
      </c>
      <c r="N15" s="18" t="s">
        <v>27</v>
      </c>
      <c r="O15" s="18" t="s">
        <v>86</v>
      </c>
      <c r="P15" s="18">
        <v>0.3</v>
      </c>
      <c r="Q15" s="18" t="s">
        <v>27</v>
      </c>
      <c r="R15" s="18" t="s">
        <v>18</v>
      </c>
      <c r="S15" s="18">
        <v>1</v>
      </c>
      <c r="T15" s="18" t="s">
        <v>27</v>
      </c>
      <c r="U15" s="18" t="s">
        <v>87</v>
      </c>
      <c r="V15" s="18">
        <v>0.2</v>
      </c>
    </row>
    <row r="16" spans="1:31" ht="41.4" x14ac:dyDescent="0.3">
      <c r="A16" s="18" t="s">
        <v>158</v>
      </c>
      <c r="B16" s="18" t="s">
        <v>27</v>
      </c>
      <c r="C16" s="18" t="s">
        <v>87</v>
      </c>
      <c r="D16" s="18">
        <v>0.15</v>
      </c>
      <c r="E16" s="18" t="s">
        <v>29</v>
      </c>
      <c r="F16" s="18" t="s">
        <v>153</v>
      </c>
      <c r="G16" s="18">
        <v>0.75</v>
      </c>
      <c r="H16" s="18" t="s">
        <v>27</v>
      </c>
      <c r="I16" s="18" t="s">
        <v>115</v>
      </c>
      <c r="J16" s="18">
        <v>0.5</v>
      </c>
      <c r="K16" s="18" t="s">
        <v>27</v>
      </c>
      <c r="L16" s="18" t="s">
        <v>86</v>
      </c>
      <c r="M16" s="18">
        <v>0.5</v>
      </c>
      <c r="N16" s="18" t="s">
        <v>27</v>
      </c>
      <c r="O16" s="18" t="s">
        <v>108</v>
      </c>
      <c r="P16" s="18">
        <v>0.5</v>
      </c>
      <c r="Q16" s="18" t="s">
        <v>27</v>
      </c>
      <c r="R16" s="18" t="s">
        <v>154</v>
      </c>
      <c r="S16" s="18">
        <v>0.5</v>
      </c>
      <c r="T16" s="18" t="s">
        <v>27</v>
      </c>
      <c r="U16" s="18" t="s">
        <v>17</v>
      </c>
      <c r="V16" s="18">
        <v>0.5</v>
      </c>
      <c r="W16" s="18" t="s">
        <v>27</v>
      </c>
      <c r="X16" s="18" t="s">
        <v>13</v>
      </c>
      <c r="Y16" s="18">
        <v>1</v>
      </c>
      <c r="Z16" s="18" t="s">
        <v>35</v>
      </c>
      <c r="AA16" s="18" t="s">
        <v>36</v>
      </c>
      <c r="AB16" s="18">
        <v>0.5</v>
      </c>
    </row>
    <row r="17" spans="1:25" ht="41.4" x14ac:dyDescent="0.3">
      <c r="A17" s="18" t="s">
        <v>170</v>
      </c>
      <c r="B17" s="18" t="s">
        <v>27</v>
      </c>
      <c r="C17" s="18" t="s">
        <v>76</v>
      </c>
      <c r="D17" s="18">
        <v>1</v>
      </c>
      <c r="E17" s="18" t="s">
        <v>29</v>
      </c>
      <c r="F17" s="18" t="s">
        <v>97</v>
      </c>
      <c r="G17" s="18">
        <v>0.5</v>
      </c>
      <c r="H17" s="18" t="s">
        <v>27</v>
      </c>
      <c r="I17" s="18" t="s">
        <v>17</v>
      </c>
      <c r="J17" s="18">
        <v>1</v>
      </c>
      <c r="K17" s="18" t="s">
        <v>30</v>
      </c>
      <c r="L17" s="18" t="s">
        <v>156</v>
      </c>
      <c r="M17" s="18">
        <v>0.3</v>
      </c>
      <c r="N17" s="18" t="s">
        <v>27</v>
      </c>
      <c r="O17" s="18" t="s">
        <v>157</v>
      </c>
      <c r="P17" s="18">
        <v>70</v>
      </c>
      <c r="Q17" s="18" t="s">
        <v>35</v>
      </c>
      <c r="R17" s="18" t="s">
        <v>169</v>
      </c>
      <c r="S17" s="18">
        <v>0.33</v>
      </c>
      <c r="T17" s="18" t="s">
        <v>27</v>
      </c>
      <c r="U17" s="18" t="s">
        <v>86</v>
      </c>
      <c r="V17" s="18">
        <v>1</v>
      </c>
      <c r="W17" s="18" t="s">
        <v>27</v>
      </c>
      <c r="X17" s="18" t="s">
        <v>103</v>
      </c>
      <c r="Y17" s="18">
        <v>0.2</v>
      </c>
    </row>
    <row r="18" spans="1:25" ht="41.4" x14ac:dyDescent="0.3">
      <c r="A18" s="18" t="s">
        <v>171</v>
      </c>
      <c r="B18" s="18" t="s">
        <v>35</v>
      </c>
      <c r="C18" s="18" t="s">
        <v>16</v>
      </c>
      <c r="D18" s="18">
        <v>3</v>
      </c>
      <c r="E18" s="18" t="s">
        <v>29</v>
      </c>
      <c r="F18" s="18" t="s">
        <v>97</v>
      </c>
      <c r="G18" s="18">
        <v>0.5</v>
      </c>
      <c r="H18" s="18" t="s">
        <v>32</v>
      </c>
      <c r="I18" s="18" t="s">
        <v>14</v>
      </c>
      <c r="J18" s="18">
        <v>1</v>
      </c>
      <c r="K18" s="18" t="s">
        <v>27</v>
      </c>
      <c r="L18" s="18" t="s">
        <v>87</v>
      </c>
      <c r="M18" s="18">
        <v>0.15</v>
      </c>
      <c r="N18" s="18" t="s">
        <v>31</v>
      </c>
      <c r="O18" s="18" t="s">
        <v>73</v>
      </c>
      <c r="P18" s="18">
        <v>0.2</v>
      </c>
      <c r="Q18" s="18" t="s">
        <v>27</v>
      </c>
      <c r="R18" s="18" t="s">
        <v>17</v>
      </c>
      <c r="S18" s="18">
        <v>0.5</v>
      </c>
      <c r="T18" s="18" t="s">
        <v>31</v>
      </c>
      <c r="U18" s="18" t="s">
        <v>159</v>
      </c>
      <c r="V18" s="18">
        <v>0.3</v>
      </c>
    </row>
    <row r="19" spans="1:25" ht="41.4" x14ac:dyDescent="0.3">
      <c r="A19" s="18" t="s">
        <v>160</v>
      </c>
      <c r="B19" s="18" t="s">
        <v>27</v>
      </c>
      <c r="C19" s="18" t="s">
        <v>161</v>
      </c>
      <c r="D19" s="18">
        <v>0.5</v>
      </c>
      <c r="E19" s="18" t="s">
        <v>29</v>
      </c>
      <c r="F19" s="18" t="s">
        <v>97</v>
      </c>
      <c r="G19" s="18">
        <v>0.3</v>
      </c>
      <c r="H19" s="18" t="s">
        <v>31</v>
      </c>
      <c r="I19" s="18" t="s">
        <v>105</v>
      </c>
      <c r="J19" s="18">
        <v>1</v>
      </c>
      <c r="K19" s="18" t="s">
        <v>31</v>
      </c>
      <c r="L19" s="18" t="s">
        <v>159</v>
      </c>
      <c r="M19" s="18">
        <v>0.5</v>
      </c>
      <c r="N19" s="18" t="s">
        <v>27</v>
      </c>
      <c r="O19" s="18" t="s">
        <v>86</v>
      </c>
      <c r="P19" s="18">
        <v>0.5</v>
      </c>
      <c r="Q19" s="18" t="s">
        <v>27</v>
      </c>
      <c r="R19" s="18" t="s">
        <v>162</v>
      </c>
      <c r="S19" s="18">
        <v>6</v>
      </c>
    </row>
    <row r="20" spans="1:25" ht="41.4" x14ac:dyDescent="0.3">
      <c r="A20" s="18" t="s">
        <v>163</v>
      </c>
      <c r="B20" s="18" t="s">
        <v>29</v>
      </c>
      <c r="C20" s="18" t="s">
        <v>145</v>
      </c>
      <c r="D20" s="18">
        <v>3</v>
      </c>
      <c r="E20" s="18" t="s">
        <v>35</v>
      </c>
      <c r="F20" s="18" t="s">
        <v>142</v>
      </c>
      <c r="G20" s="18">
        <v>3</v>
      </c>
      <c r="H20" s="18" t="s">
        <v>33</v>
      </c>
      <c r="I20" s="18" t="s">
        <v>90</v>
      </c>
      <c r="J20" s="18">
        <v>0.5</v>
      </c>
      <c r="K20" s="18" t="s">
        <v>27</v>
      </c>
      <c r="L20" s="18" t="s">
        <v>115</v>
      </c>
      <c r="M20" s="18">
        <v>0.25</v>
      </c>
      <c r="N20" s="18" t="s">
        <v>27</v>
      </c>
      <c r="O20" s="18" t="s">
        <v>143</v>
      </c>
      <c r="P20" s="18">
        <v>0.25</v>
      </c>
      <c r="Q20" s="18" t="s">
        <v>31</v>
      </c>
      <c r="R20" s="18" t="s">
        <v>73</v>
      </c>
      <c r="S20" s="18">
        <v>0.1</v>
      </c>
      <c r="T20" s="18" t="s">
        <v>27</v>
      </c>
      <c r="U20" s="18" t="s">
        <v>86</v>
      </c>
      <c r="V20" s="18">
        <v>0.5</v>
      </c>
      <c r="W20" s="18" t="s">
        <v>31</v>
      </c>
      <c r="X20" s="30" t="s">
        <v>172</v>
      </c>
      <c r="Y20" s="18">
        <v>0.1</v>
      </c>
    </row>
    <row r="21" spans="1:25" ht="41.4" x14ac:dyDescent="0.3">
      <c r="A21" s="18" t="s">
        <v>164</v>
      </c>
      <c r="B21" s="18" t="s">
        <v>35</v>
      </c>
      <c r="C21" s="18" t="s">
        <v>169</v>
      </c>
      <c r="D21" s="18">
        <v>0.33</v>
      </c>
      <c r="E21" s="18" t="s">
        <v>29</v>
      </c>
      <c r="F21" s="18" t="s">
        <v>97</v>
      </c>
      <c r="G21" s="18">
        <v>0.3</v>
      </c>
      <c r="H21" s="18" t="s">
        <v>74</v>
      </c>
      <c r="I21" s="18" t="s">
        <v>82</v>
      </c>
      <c r="J21" s="18">
        <v>0.25</v>
      </c>
      <c r="K21" s="18" t="s">
        <v>27</v>
      </c>
      <c r="L21" s="18" t="s">
        <v>86</v>
      </c>
      <c r="M21" s="18">
        <v>0.2</v>
      </c>
      <c r="N21" s="18" t="s">
        <v>27</v>
      </c>
      <c r="O21" s="18" t="s">
        <v>17</v>
      </c>
      <c r="P21" s="18">
        <v>0.25</v>
      </c>
      <c r="Q21" s="18" t="s">
        <v>32</v>
      </c>
      <c r="R21" s="18" t="s">
        <v>186</v>
      </c>
      <c r="S21" s="18">
        <v>0.2</v>
      </c>
      <c r="T21" s="18" t="s">
        <v>27</v>
      </c>
      <c r="U21" s="18" t="s">
        <v>115</v>
      </c>
      <c r="V21" s="18">
        <v>1</v>
      </c>
    </row>
    <row r="22" spans="1:25" ht="27.6" x14ac:dyDescent="0.3">
      <c r="A22" s="18" t="s">
        <v>166</v>
      </c>
      <c r="B22" s="18" t="s">
        <v>31</v>
      </c>
      <c r="C22" s="18" t="s">
        <v>73</v>
      </c>
      <c r="D22" s="18">
        <v>0.1</v>
      </c>
      <c r="E22" s="18" t="s">
        <v>27</v>
      </c>
      <c r="F22" s="18" t="s">
        <v>17</v>
      </c>
      <c r="G22" s="18">
        <v>0.5</v>
      </c>
      <c r="H22" s="18" t="s">
        <v>27</v>
      </c>
      <c r="I22" s="18" t="s">
        <v>86</v>
      </c>
      <c r="J22" s="18">
        <v>0.2</v>
      </c>
      <c r="K22" s="18" t="s">
        <v>32</v>
      </c>
      <c r="L22" s="18" t="s">
        <v>14</v>
      </c>
      <c r="M22" s="18">
        <v>1</v>
      </c>
      <c r="N22" s="18" t="s">
        <v>29</v>
      </c>
      <c r="O22" s="18" t="s">
        <v>72</v>
      </c>
      <c r="P22" s="18">
        <v>10</v>
      </c>
      <c r="Q22" s="18" t="s">
        <v>30</v>
      </c>
      <c r="R22" s="18" t="s">
        <v>165</v>
      </c>
      <c r="S22" s="18">
        <v>1</v>
      </c>
    </row>
    <row r="23" spans="1:25" ht="27.6" x14ac:dyDescent="0.3">
      <c r="A23" s="18" t="s">
        <v>168</v>
      </c>
      <c r="B23" s="18" t="s">
        <v>27</v>
      </c>
      <c r="C23" s="18" t="s">
        <v>20</v>
      </c>
      <c r="D23" s="18">
        <v>1</v>
      </c>
      <c r="E23" s="18" t="s">
        <v>29</v>
      </c>
      <c r="F23" s="18" t="s">
        <v>72</v>
      </c>
      <c r="G23" s="18">
        <v>7.5</v>
      </c>
      <c r="H23" s="18" t="s">
        <v>32</v>
      </c>
      <c r="I23" s="18" t="s">
        <v>77</v>
      </c>
      <c r="J23" s="18">
        <v>7.5</v>
      </c>
      <c r="K23" s="18" t="s">
        <v>27</v>
      </c>
      <c r="L23" s="18" t="s">
        <v>18</v>
      </c>
      <c r="M23" s="18">
        <v>0.75</v>
      </c>
      <c r="N23" s="18" t="s">
        <v>27</v>
      </c>
      <c r="O23" s="18" t="s">
        <v>86</v>
      </c>
      <c r="P23" s="18">
        <v>0.25</v>
      </c>
      <c r="Q23" s="18" t="s">
        <v>35</v>
      </c>
      <c r="R23" s="18" t="s">
        <v>167</v>
      </c>
      <c r="S23" s="18">
        <v>0.5</v>
      </c>
      <c r="T23" s="18" t="s">
        <v>27</v>
      </c>
      <c r="U23" s="18" t="s">
        <v>86</v>
      </c>
      <c r="V23" s="18">
        <v>0.2</v>
      </c>
    </row>
  </sheetData>
  <autoFilter ref="A2:AE12" xr:uid="{D3D1CD6C-3FE9-4F62-B558-3AE010AFEF83}"/>
  <mergeCells count="10">
    <mergeCell ref="T1:V1"/>
    <mergeCell ref="W1:Y1"/>
    <mergeCell ref="Z1:AB1"/>
    <mergeCell ref="AC1:AE1"/>
    <mergeCell ref="B1:D1"/>
    <mergeCell ref="E1:G1"/>
    <mergeCell ref="H1:J1"/>
    <mergeCell ref="K1:M1"/>
    <mergeCell ref="N1:P1"/>
    <mergeCell ref="Q1:S1"/>
  </mergeCells>
  <phoneticPr fontId="2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929165F1-E96F-41BA-B04E-1A85F0F9D0CD}">
          <x14:formula1>
            <xm:f>_xlfn.XLOOKUP(B3, ListaProduktów!$A$1:$I$1, ListaProduktów!$A$2:$I$51)</xm:f>
          </x14:formula1>
          <xm:sqref>C3 R5 C5 F5 L5 I5 O5 X5 U5 L22</xm:sqref>
        </x14:dataValidation>
        <x14:dataValidation type="list" allowBlank="1" showInputMessage="1" showErrorMessage="1" xr:uid="{A00BAC0A-AA74-4F1D-8D1B-2A858AAB99AE}">
          <x14:formula1>
            <xm:f>ListaProduktów!$A$1:$I$1</xm:f>
          </x14:formula1>
          <xm:sqref>B3 Q5 B5 E5 H5 K5 N5 T5 W5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63F64-4B70-4A02-9BD8-381F6C040C2F}">
  <sheetPr codeName="Arkusz3"/>
  <dimension ref="A1:A4"/>
  <sheetViews>
    <sheetView workbookViewId="0">
      <selection activeCell="I8" sqref="I8"/>
    </sheetView>
  </sheetViews>
  <sheetFormatPr defaultRowHeight="14.4" x14ac:dyDescent="0.3"/>
  <sheetData>
    <row r="1" spans="1:1" s="14" customFormat="1" x14ac:dyDescent="0.3">
      <c r="A1" s="15" t="s">
        <v>78</v>
      </c>
    </row>
    <row r="2" spans="1:1" s="14" customFormat="1" x14ac:dyDescent="0.3">
      <c r="A2" s="14" t="s">
        <v>79</v>
      </c>
    </row>
    <row r="3" spans="1:1" s="14" customFormat="1" x14ac:dyDescent="0.3">
      <c r="A3" s="14" t="s">
        <v>80</v>
      </c>
    </row>
    <row r="4" spans="1:1" s="14" customFormat="1" x14ac:dyDescent="0.3">
      <c r="A4" s="14" t="s">
        <v>81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7B94626-4750-4EDB-AE27-94358AB6D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5</vt:i4>
      </vt:variant>
    </vt:vector>
  </HeadingPairs>
  <TitlesOfParts>
    <vt:vector size="5" baseType="lpstr">
      <vt:lpstr>Lista zakupów</vt:lpstr>
      <vt:lpstr>Planowanie</vt:lpstr>
      <vt:lpstr>ListaProduktów</vt:lpstr>
      <vt:lpstr>ListaPrzepisów</vt:lpstr>
      <vt:lpstr>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Arkadiusz Nadolny</dc:creator>
  <cp:lastModifiedBy>Arkadiusz Nadolny</cp:lastModifiedBy>
  <dcterms:created xsi:type="dcterms:W3CDTF">2023-10-05T19:17:48Z</dcterms:created>
  <dcterms:modified xsi:type="dcterms:W3CDTF">2024-02-10T10:51:59Z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2023-10-05T19:17:50Z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5f98f708-06bc-4e6b-914f-f445811e6000</vt:lpwstr>
  </property>
  <property fmtid="{D5CDD505-2E9C-101B-9397-08002B2CF9AE}" pid="7" name="MSIP_Label_defa4170-0d19-0005-0004-bc88714345d2_ActionId">
    <vt:lpwstr>e7f680c4-9572-42ab-949c-d5d2c9add7d3</vt:lpwstr>
  </property>
  <property fmtid="{D5CDD505-2E9C-101B-9397-08002B2CF9AE}" pid="8" name="MSIP_Label_defa4170-0d19-0005-0004-bc88714345d2_ContentBits">
    <vt:lpwstr>0</vt:lpwstr>
  </property>
</Properties>
</file>